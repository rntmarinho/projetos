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abtec.sharepoint.com/sites/cabcorporativo/Corporativo/Tecnologia da Informação/Projeto_TI/"/>
    </mc:Choice>
  </mc:AlternateContent>
  <xr:revisionPtr revIDLastSave="167" documentId="8_{4BC8A2F4-14FE-4662-82D4-7049D3EF4893}" xr6:coauthVersionLast="47" xr6:coauthVersionMax="47" xr10:uidLastSave="{FCD5999E-36B5-463E-BA3F-D9C0C68C30A1}"/>
  <bookViews>
    <workbookView xWindow="-19310" yWindow="-110" windowWidth="19420" windowHeight="11500" xr2:uid="{7E4E50BF-49F8-47E0-A78F-0A411E977F49}"/>
  </bookViews>
  <sheets>
    <sheet name="Resumo Projetos" sheetId="1" r:id="rId1"/>
    <sheet name="Cronograma" sheetId="3" r:id="rId2"/>
    <sheet name="Movimento" sheetId="6" r:id="rId3"/>
    <sheet name="#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3" l="1"/>
  <c r="L22" i="3" s="1"/>
  <c r="L20" i="3" l="1"/>
  <c r="L13" i="3"/>
  <c r="L10" i="3"/>
  <c r="L6" i="3"/>
  <c r="L24" i="3"/>
  <c r="L23" i="3"/>
  <c r="L17" i="3"/>
  <c r="M4" i="3"/>
  <c r="L9" i="3"/>
  <c r="L12" i="3"/>
  <c r="L7" i="3"/>
  <c r="L8" i="3"/>
  <c r="L11" i="3"/>
  <c r="L14" i="3"/>
  <c r="L18" i="3"/>
  <c r="L15" i="3"/>
  <c r="L19" i="3"/>
  <c r="L16" i="3"/>
  <c r="L21" i="3"/>
  <c r="L2" i="3" l="1"/>
  <c r="L3" i="3"/>
  <c r="N4" i="3"/>
  <c r="M7" i="3"/>
  <c r="M8" i="3"/>
  <c r="M11" i="3"/>
  <c r="M10" i="3"/>
  <c r="M13" i="3"/>
  <c r="M9" i="3"/>
  <c r="M14" i="3"/>
  <c r="M18" i="3"/>
  <c r="M15" i="3"/>
  <c r="M19" i="3"/>
  <c r="M16" i="3"/>
  <c r="M17" i="3"/>
  <c r="M21" i="3"/>
  <c r="M22" i="3"/>
  <c r="M23" i="3"/>
  <c r="M24" i="3"/>
  <c r="M6" i="3"/>
  <c r="M20" i="3"/>
  <c r="M12" i="3"/>
  <c r="O4" i="3" l="1"/>
  <c r="N7" i="3"/>
  <c r="N9" i="3"/>
  <c r="N10" i="3"/>
  <c r="N12" i="3"/>
  <c r="N8" i="3"/>
  <c r="N11" i="3"/>
  <c r="N13" i="3"/>
  <c r="N14" i="3"/>
  <c r="N18" i="3"/>
  <c r="N15" i="3"/>
  <c r="N16" i="3"/>
  <c r="N20" i="3"/>
  <c r="N17" i="3"/>
  <c r="N19" i="3"/>
  <c r="N21" i="3"/>
  <c r="N22" i="3"/>
  <c r="N6" i="3"/>
  <c r="N23" i="3"/>
  <c r="N24" i="3"/>
  <c r="P4" i="3" l="1"/>
  <c r="O8" i="3"/>
  <c r="O9" i="3"/>
  <c r="O17" i="3"/>
  <c r="O11" i="3"/>
  <c r="O7" i="3"/>
  <c r="O10" i="3"/>
  <c r="O12" i="3"/>
  <c r="O13" i="3"/>
  <c r="O14" i="3"/>
  <c r="O15" i="3"/>
  <c r="O19" i="3"/>
  <c r="O16" i="3"/>
  <c r="O20" i="3"/>
  <c r="O18" i="3"/>
  <c r="O21" i="3"/>
  <c r="O22" i="3"/>
  <c r="O23" i="3"/>
  <c r="O24" i="3"/>
  <c r="O6" i="3"/>
  <c r="Q4" i="3" l="1"/>
  <c r="P3" i="3" s="1"/>
  <c r="P7" i="3"/>
  <c r="P8" i="3"/>
  <c r="P16" i="3"/>
  <c r="P9" i="3"/>
  <c r="P10" i="3"/>
  <c r="P11" i="3"/>
  <c r="P12" i="3"/>
  <c r="P13" i="3"/>
  <c r="P14" i="3"/>
  <c r="P18" i="3"/>
  <c r="P15" i="3"/>
  <c r="P19" i="3"/>
  <c r="P22" i="3"/>
  <c r="P17" i="3"/>
  <c r="P21" i="3"/>
  <c r="P20" i="3"/>
  <c r="P23" i="3"/>
  <c r="P24" i="3"/>
  <c r="P6" i="3"/>
  <c r="R4" i="3" l="1"/>
  <c r="Q7" i="3"/>
  <c r="Q15" i="3"/>
  <c r="Q8" i="3"/>
  <c r="Q9" i="3"/>
  <c r="Q10" i="3"/>
  <c r="Q11" i="3"/>
  <c r="Q12" i="3"/>
  <c r="Q13" i="3"/>
  <c r="Q14" i="3"/>
  <c r="Q18" i="3"/>
  <c r="Q16" i="3"/>
  <c r="Q20" i="3"/>
  <c r="Q24" i="3"/>
  <c r="Q6" i="3"/>
  <c r="Q19" i="3"/>
  <c r="Q17" i="3"/>
  <c r="Q21" i="3"/>
  <c r="Q22" i="3"/>
  <c r="Q23" i="3"/>
  <c r="S4" i="3" l="1"/>
  <c r="R14" i="3"/>
  <c r="R7" i="3"/>
  <c r="R8" i="3"/>
  <c r="R17" i="3"/>
  <c r="R9" i="3"/>
  <c r="R10" i="3"/>
  <c r="R11" i="3"/>
  <c r="R12" i="3"/>
  <c r="R13" i="3"/>
  <c r="R23" i="3"/>
  <c r="R16" i="3"/>
  <c r="R20" i="3"/>
  <c r="R24" i="3"/>
  <c r="R6" i="3"/>
  <c r="R15" i="3"/>
  <c r="R18" i="3"/>
  <c r="R19" i="3"/>
  <c r="R21" i="3"/>
  <c r="R22" i="3"/>
  <c r="T4" i="3" l="1"/>
  <c r="S13" i="3"/>
  <c r="S7" i="3"/>
  <c r="S16" i="3"/>
  <c r="S19" i="3"/>
  <c r="S17" i="3"/>
  <c r="S20" i="3"/>
  <c r="S8" i="3"/>
  <c r="S9" i="3"/>
  <c r="S10" i="3"/>
  <c r="S11" i="3"/>
  <c r="S12" i="3"/>
  <c r="S22" i="3"/>
  <c r="S23" i="3"/>
  <c r="S24" i="3"/>
  <c r="S6" i="3"/>
  <c r="S15" i="3"/>
  <c r="S14" i="3"/>
  <c r="S18" i="3"/>
  <c r="S21" i="3"/>
  <c r="U4" i="3" l="1"/>
  <c r="U3" i="3" s="1"/>
  <c r="T9" i="3"/>
  <c r="T12" i="3"/>
  <c r="T15" i="3"/>
  <c r="T18" i="3"/>
  <c r="T16" i="3"/>
  <c r="T19" i="3"/>
  <c r="T7" i="3"/>
  <c r="T17" i="3"/>
  <c r="T8" i="3"/>
  <c r="T10" i="3"/>
  <c r="T21" i="3"/>
  <c r="T13" i="3"/>
  <c r="T22" i="3"/>
  <c r="T11" i="3"/>
  <c r="T20" i="3"/>
  <c r="T23" i="3"/>
  <c r="T24" i="3"/>
  <c r="T6" i="3"/>
  <c r="T14" i="3"/>
  <c r="V4" i="3" l="1"/>
  <c r="U2" i="3" s="1"/>
  <c r="U8" i="3"/>
  <c r="U11" i="3"/>
  <c r="U14" i="3"/>
  <c r="U15" i="3"/>
  <c r="U18" i="3"/>
  <c r="U16" i="3"/>
  <c r="U19" i="3"/>
  <c r="U7" i="3"/>
  <c r="U9" i="3"/>
  <c r="U12" i="3"/>
  <c r="U21" i="3"/>
  <c r="U22" i="3"/>
  <c r="U20" i="3"/>
  <c r="U23" i="3"/>
  <c r="U24" i="3"/>
  <c r="U6" i="3"/>
  <c r="U10" i="3"/>
  <c r="U17" i="3"/>
  <c r="U13" i="3"/>
  <c r="W4" i="3" l="1"/>
  <c r="V7" i="3"/>
  <c r="V9" i="3"/>
  <c r="V10" i="3"/>
  <c r="V13" i="3"/>
  <c r="V14" i="3"/>
  <c r="V15" i="3"/>
  <c r="V18" i="3"/>
  <c r="V16" i="3"/>
  <c r="V8" i="3"/>
  <c r="V17" i="3"/>
  <c r="V20" i="3"/>
  <c r="V12" i="3"/>
  <c r="V21" i="3"/>
  <c r="V11" i="3"/>
  <c r="V22" i="3"/>
  <c r="V23" i="3"/>
  <c r="V19" i="3"/>
  <c r="V24" i="3"/>
  <c r="V6" i="3"/>
  <c r="X4" i="3" l="1"/>
  <c r="W8" i="3"/>
  <c r="W9" i="3"/>
  <c r="W17" i="3"/>
  <c r="W11" i="3"/>
  <c r="W12" i="3"/>
  <c r="W13" i="3"/>
  <c r="W14" i="3"/>
  <c r="W15" i="3"/>
  <c r="W7" i="3"/>
  <c r="W16" i="3"/>
  <c r="W19" i="3"/>
  <c r="W20" i="3"/>
  <c r="W21" i="3"/>
  <c r="W22" i="3"/>
  <c r="W18" i="3"/>
  <c r="W23" i="3"/>
  <c r="W10" i="3"/>
  <c r="W24" i="3"/>
  <c r="W6" i="3"/>
  <c r="Y4" i="3" l="1"/>
  <c r="Y3" i="3" s="1"/>
  <c r="X7" i="3"/>
  <c r="X8" i="3"/>
  <c r="X16" i="3"/>
  <c r="X10" i="3"/>
  <c r="X11" i="3"/>
  <c r="X12" i="3"/>
  <c r="X13" i="3"/>
  <c r="X14" i="3"/>
  <c r="X15" i="3"/>
  <c r="X18" i="3"/>
  <c r="X9" i="3"/>
  <c r="X17" i="3"/>
  <c r="X19" i="3"/>
  <c r="X22" i="3"/>
  <c r="X20" i="3"/>
  <c r="X21" i="3"/>
  <c r="X23" i="3"/>
  <c r="X24" i="3"/>
  <c r="X6" i="3"/>
  <c r="Z4" i="3" l="1"/>
  <c r="Y7" i="3"/>
  <c r="Y15" i="3"/>
  <c r="Y8" i="3"/>
  <c r="Y9" i="3"/>
  <c r="Y10" i="3"/>
  <c r="Y11" i="3"/>
  <c r="Y12" i="3"/>
  <c r="Y13" i="3"/>
  <c r="Y14" i="3"/>
  <c r="Y16" i="3"/>
  <c r="Y18" i="3"/>
  <c r="Y24" i="3"/>
  <c r="Y6" i="3"/>
  <c r="Y19" i="3"/>
  <c r="Y20" i="3"/>
  <c r="Y21" i="3"/>
  <c r="Y17" i="3"/>
  <c r="Y22" i="3"/>
  <c r="Y23" i="3"/>
  <c r="AA4" i="3" l="1"/>
  <c r="Z14" i="3"/>
  <c r="Z7" i="3"/>
  <c r="Z8" i="3"/>
  <c r="Z10" i="3"/>
  <c r="Z11" i="3"/>
  <c r="Z12" i="3"/>
  <c r="Z13" i="3"/>
  <c r="Z15" i="3"/>
  <c r="Z23" i="3"/>
  <c r="Z18" i="3"/>
  <c r="Z24" i="3"/>
  <c r="Z6" i="3"/>
  <c r="Z16" i="3"/>
  <c r="Z20" i="3"/>
  <c r="Z9" i="3"/>
  <c r="Z21" i="3"/>
  <c r="Z19" i="3"/>
  <c r="Z22" i="3"/>
  <c r="Z17" i="3"/>
  <c r="AB4" i="3" l="1"/>
  <c r="AA13" i="3"/>
  <c r="AA7" i="3"/>
  <c r="AA17" i="3"/>
  <c r="AA10" i="3"/>
  <c r="AA11" i="3"/>
  <c r="AA12" i="3"/>
  <c r="AA8" i="3"/>
  <c r="AA14" i="3"/>
  <c r="AA19" i="3"/>
  <c r="AA22" i="3"/>
  <c r="AA23" i="3"/>
  <c r="AA24" i="3"/>
  <c r="AA6" i="3"/>
  <c r="AA16" i="3"/>
  <c r="AA15" i="3"/>
  <c r="AA9" i="3"/>
  <c r="AA18" i="3"/>
  <c r="AA20" i="3"/>
  <c r="AA21" i="3"/>
  <c r="AC4" i="3" l="1"/>
  <c r="AB9" i="3"/>
  <c r="AB12" i="3"/>
  <c r="AB16" i="3"/>
  <c r="AB18" i="3"/>
  <c r="AB17" i="3"/>
  <c r="AB19" i="3"/>
  <c r="AB10" i="3"/>
  <c r="AB11" i="3"/>
  <c r="AB7" i="3"/>
  <c r="AB13" i="3"/>
  <c r="AB20" i="3"/>
  <c r="AB21" i="3"/>
  <c r="AB14" i="3"/>
  <c r="AB22" i="3"/>
  <c r="AB23" i="3"/>
  <c r="AB24" i="3"/>
  <c r="AB6" i="3"/>
  <c r="AB15" i="3"/>
  <c r="AB8" i="3"/>
  <c r="AD4" i="3" l="1"/>
  <c r="AC3" i="3" s="1"/>
  <c r="AC8" i="3"/>
  <c r="AC11" i="3"/>
  <c r="AC9" i="3"/>
  <c r="AC15" i="3"/>
  <c r="AC16" i="3"/>
  <c r="AC18" i="3"/>
  <c r="AC17" i="3"/>
  <c r="AC19" i="3"/>
  <c r="AC10" i="3"/>
  <c r="AC12" i="3"/>
  <c r="AC7" i="3"/>
  <c r="AC13" i="3"/>
  <c r="AC20" i="3"/>
  <c r="AC21" i="3"/>
  <c r="AC22" i="3"/>
  <c r="AC23" i="3"/>
  <c r="AC24" i="3"/>
  <c r="AC6" i="3"/>
  <c r="AC14" i="3"/>
  <c r="AE4" i="3" l="1"/>
  <c r="AD7" i="3"/>
  <c r="AD9" i="3"/>
  <c r="AD10" i="3"/>
  <c r="AD14" i="3"/>
  <c r="AD15" i="3"/>
  <c r="AD16" i="3"/>
  <c r="AD18" i="3"/>
  <c r="AD11" i="3"/>
  <c r="AD17" i="3"/>
  <c r="AD13" i="3"/>
  <c r="AD19" i="3"/>
  <c r="AD12" i="3"/>
  <c r="AD20" i="3"/>
  <c r="AD21" i="3"/>
  <c r="AD6" i="3"/>
  <c r="AD22" i="3"/>
  <c r="AD23" i="3"/>
  <c r="AD24" i="3"/>
  <c r="AD8" i="3"/>
  <c r="AF4" i="3" l="1"/>
  <c r="AE8" i="3"/>
  <c r="AE9" i="3"/>
  <c r="AE17" i="3"/>
  <c r="AE13" i="3"/>
  <c r="AE14" i="3"/>
  <c r="AE15" i="3"/>
  <c r="AE16" i="3"/>
  <c r="AE19" i="3"/>
  <c r="AE10" i="3"/>
  <c r="AE20" i="3"/>
  <c r="AE18" i="3"/>
  <c r="AE7" i="3"/>
  <c r="AE12" i="3"/>
  <c r="AE21" i="3"/>
  <c r="AE11" i="3"/>
  <c r="AE22" i="3"/>
  <c r="AE23" i="3"/>
  <c r="AE24" i="3"/>
  <c r="AE6" i="3"/>
  <c r="AG4" i="3" l="1"/>
  <c r="AF7" i="3"/>
  <c r="AF8" i="3"/>
  <c r="AF16" i="3"/>
  <c r="AF10" i="3"/>
  <c r="AF12" i="3"/>
  <c r="AF9" i="3"/>
  <c r="AF13" i="3"/>
  <c r="AF14" i="3"/>
  <c r="AF15" i="3"/>
  <c r="AF17" i="3"/>
  <c r="AF18" i="3"/>
  <c r="AF19" i="3"/>
  <c r="AF20" i="3"/>
  <c r="AF21" i="3"/>
  <c r="AF11" i="3"/>
  <c r="AF22" i="3"/>
  <c r="AF24" i="3"/>
  <c r="AF6" i="3"/>
  <c r="AF23" i="3"/>
  <c r="AH4" i="3" l="1"/>
  <c r="AG7" i="3"/>
  <c r="AG15" i="3"/>
  <c r="AG8" i="3"/>
  <c r="AG9" i="3"/>
  <c r="AG11" i="3"/>
  <c r="AG12" i="3"/>
  <c r="AG13" i="3"/>
  <c r="AG14" i="3"/>
  <c r="AG16" i="3"/>
  <c r="AG17" i="3"/>
  <c r="AG18" i="3"/>
  <c r="AG10" i="3"/>
  <c r="AG24" i="3"/>
  <c r="AG6" i="3"/>
  <c r="AG19" i="3"/>
  <c r="AG20" i="3"/>
  <c r="AG21" i="3"/>
  <c r="AG23" i="3"/>
  <c r="AG22" i="3"/>
  <c r="AI4" i="3" l="1"/>
  <c r="AH3" i="3" s="1"/>
  <c r="AH14" i="3"/>
  <c r="AH7" i="3"/>
  <c r="AH8" i="3"/>
  <c r="AH11" i="3"/>
  <c r="AH9" i="3"/>
  <c r="AH12" i="3"/>
  <c r="AH13" i="3"/>
  <c r="AH15" i="3"/>
  <c r="AH16" i="3"/>
  <c r="AH23" i="3"/>
  <c r="AH10" i="3"/>
  <c r="AH17" i="3"/>
  <c r="AH18" i="3"/>
  <c r="AH24" i="3"/>
  <c r="AH6" i="3"/>
  <c r="AH19" i="3"/>
  <c r="AH20" i="3"/>
  <c r="AH22" i="3"/>
  <c r="AH21" i="3"/>
  <c r="AJ4" i="3" l="1"/>
  <c r="AI13" i="3"/>
  <c r="AI7" i="3"/>
  <c r="AI8" i="3"/>
  <c r="AI10" i="3"/>
  <c r="AI11" i="3"/>
  <c r="AI9" i="3"/>
  <c r="AI12" i="3"/>
  <c r="AI14" i="3"/>
  <c r="AI15" i="3"/>
  <c r="AI22" i="3"/>
  <c r="AI23" i="3"/>
  <c r="AI17" i="3"/>
  <c r="AI18" i="3"/>
  <c r="AI24" i="3"/>
  <c r="AI6" i="3"/>
  <c r="AI16" i="3"/>
  <c r="AI19" i="3"/>
  <c r="AI20" i="3"/>
  <c r="AI21" i="3"/>
  <c r="AK4" i="3" l="1"/>
  <c r="AJ9" i="3"/>
  <c r="AJ12" i="3"/>
  <c r="AJ7" i="3"/>
  <c r="AJ17" i="3"/>
  <c r="AJ18" i="3"/>
  <c r="AJ8" i="3"/>
  <c r="AJ10" i="3"/>
  <c r="AJ19" i="3"/>
  <c r="AJ11" i="3"/>
  <c r="AJ13" i="3"/>
  <c r="AJ14" i="3"/>
  <c r="AJ21" i="3"/>
  <c r="AJ15" i="3"/>
  <c r="AJ22" i="3"/>
  <c r="AJ23" i="3"/>
  <c r="AJ24" i="3"/>
  <c r="AJ6" i="3"/>
  <c r="AJ16" i="3"/>
  <c r="AJ20" i="3"/>
  <c r="AL4" i="3" l="1"/>
  <c r="AK8" i="3"/>
  <c r="AK11" i="3"/>
  <c r="AK16" i="3"/>
  <c r="AK7" i="3"/>
  <c r="AK17" i="3"/>
  <c r="AK18" i="3"/>
  <c r="AK10" i="3"/>
  <c r="AK19" i="3"/>
  <c r="AK9" i="3"/>
  <c r="AK12" i="3"/>
  <c r="AK13" i="3"/>
  <c r="AK14" i="3"/>
  <c r="AK20" i="3"/>
  <c r="AK21" i="3"/>
  <c r="AK22" i="3"/>
  <c r="AK23" i="3"/>
  <c r="AK24" i="3"/>
  <c r="AK6" i="3"/>
  <c r="AK15" i="3"/>
  <c r="AM4" i="3" l="1"/>
  <c r="AL3" i="3" s="1"/>
  <c r="AL7" i="3"/>
  <c r="AL9" i="3"/>
  <c r="AL10" i="3"/>
  <c r="AL15" i="3"/>
  <c r="AL16" i="3"/>
  <c r="AL8" i="3"/>
  <c r="AL17" i="3"/>
  <c r="AL18" i="3"/>
  <c r="AL11" i="3"/>
  <c r="AL12" i="3"/>
  <c r="AL14" i="3"/>
  <c r="AL20" i="3"/>
  <c r="AL13" i="3"/>
  <c r="AL21" i="3"/>
  <c r="AL22" i="3"/>
  <c r="AL23" i="3"/>
  <c r="AL6" i="3"/>
  <c r="AL19" i="3"/>
  <c r="AL24" i="3"/>
  <c r="AN4" i="3" l="1"/>
  <c r="AM8" i="3"/>
  <c r="AM9" i="3"/>
  <c r="AM17" i="3"/>
  <c r="AM14" i="3"/>
  <c r="AM15" i="3"/>
  <c r="AM7" i="3"/>
  <c r="AM16" i="3"/>
  <c r="AM10" i="3"/>
  <c r="AM19" i="3"/>
  <c r="AM11" i="3"/>
  <c r="AM20" i="3"/>
  <c r="AM13" i="3"/>
  <c r="AM18" i="3"/>
  <c r="AM21" i="3"/>
  <c r="AM12" i="3"/>
  <c r="AM22" i="3"/>
  <c r="AM23" i="3"/>
  <c r="AM24" i="3"/>
  <c r="AM6" i="3"/>
  <c r="AO4" i="3" l="1"/>
  <c r="AN7" i="3"/>
  <c r="AN8" i="3"/>
  <c r="AN16" i="3"/>
  <c r="AN10" i="3"/>
  <c r="AN13" i="3"/>
  <c r="AN14" i="3"/>
  <c r="AN15" i="3"/>
  <c r="AN18" i="3"/>
  <c r="AN9" i="3"/>
  <c r="AN19" i="3"/>
  <c r="AN11" i="3"/>
  <c r="AN17" i="3"/>
  <c r="AN20" i="3"/>
  <c r="AN21" i="3"/>
  <c r="AN12" i="3"/>
  <c r="AN22" i="3"/>
  <c r="AN24" i="3"/>
  <c r="AN6" i="3"/>
  <c r="AN23" i="3"/>
  <c r="AP4" i="3" l="1"/>
  <c r="AO7" i="3"/>
  <c r="AO15" i="3"/>
  <c r="AO8" i="3"/>
  <c r="AO9" i="3"/>
  <c r="AO12" i="3"/>
  <c r="AO13" i="3"/>
  <c r="AO14" i="3"/>
  <c r="AO10" i="3"/>
  <c r="AO17" i="3"/>
  <c r="AO18" i="3"/>
  <c r="AO24" i="3"/>
  <c r="AO6" i="3"/>
  <c r="AO16" i="3"/>
  <c r="AO20" i="3"/>
  <c r="AO21" i="3"/>
  <c r="AO19" i="3"/>
  <c r="AO23" i="3"/>
  <c r="AO11" i="3"/>
  <c r="AO22" i="3"/>
  <c r="AQ4" i="3" l="1"/>
  <c r="AP3" i="3" s="1"/>
  <c r="AP14" i="3"/>
  <c r="AP7" i="3"/>
  <c r="AP8" i="3"/>
  <c r="AP11" i="3"/>
  <c r="AP12" i="3"/>
  <c r="AP13" i="3"/>
  <c r="AP15" i="3"/>
  <c r="AP16" i="3"/>
  <c r="AP10" i="3"/>
  <c r="AP17" i="3"/>
  <c r="AP23" i="3"/>
  <c r="AP24" i="3"/>
  <c r="AP6" i="3"/>
  <c r="AP9" i="3"/>
  <c r="AP18" i="3"/>
  <c r="AP20" i="3"/>
  <c r="AP22" i="3"/>
  <c r="AP21" i="3"/>
  <c r="AP19" i="3"/>
  <c r="AR4" i="3" l="1"/>
  <c r="AQ13" i="3"/>
  <c r="AQ7" i="3"/>
  <c r="AQ11" i="3"/>
  <c r="AQ12" i="3"/>
  <c r="AQ8" i="3"/>
  <c r="AQ14" i="3"/>
  <c r="AQ15" i="3"/>
  <c r="AQ16" i="3"/>
  <c r="AQ19" i="3"/>
  <c r="AQ22" i="3"/>
  <c r="AQ23" i="3"/>
  <c r="AQ10" i="3"/>
  <c r="AQ24" i="3"/>
  <c r="AQ6" i="3"/>
  <c r="AQ17" i="3"/>
  <c r="AQ18" i="3"/>
  <c r="AQ20" i="3"/>
  <c r="AQ9" i="3"/>
  <c r="AQ21" i="3"/>
  <c r="AS4" i="3" l="1"/>
  <c r="AR12" i="3"/>
  <c r="AR9" i="3"/>
  <c r="AR18" i="3"/>
  <c r="AR19" i="3"/>
  <c r="AR11" i="3"/>
  <c r="AR7" i="3"/>
  <c r="AR13" i="3"/>
  <c r="AR8" i="3"/>
  <c r="AR14" i="3"/>
  <c r="AR15" i="3"/>
  <c r="AR21" i="3"/>
  <c r="AR22" i="3"/>
  <c r="AR23" i="3"/>
  <c r="AR10" i="3"/>
  <c r="AR24" i="3"/>
  <c r="AR6" i="3"/>
  <c r="AR17" i="3"/>
  <c r="AR20" i="3"/>
  <c r="AR16" i="3"/>
  <c r="AT4" i="3" l="1"/>
  <c r="AS8" i="3"/>
  <c r="AS11" i="3"/>
  <c r="AS10" i="3"/>
  <c r="AS17" i="3"/>
  <c r="AS9" i="3"/>
  <c r="AS18" i="3"/>
  <c r="AS12" i="3"/>
  <c r="AS7" i="3"/>
  <c r="AS13" i="3"/>
  <c r="AS14" i="3"/>
  <c r="AS15" i="3"/>
  <c r="AS16" i="3"/>
  <c r="AS20" i="3"/>
  <c r="AS19" i="3"/>
  <c r="AS21" i="3"/>
  <c r="AS22" i="3"/>
  <c r="AS23" i="3"/>
  <c r="AS24" i="3"/>
  <c r="AS6" i="3"/>
  <c r="AU4" i="3" l="1"/>
  <c r="AT7" i="3"/>
  <c r="AT9" i="3"/>
  <c r="AT10" i="3"/>
  <c r="AT16" i="3"/>
  <c r="AT17" i="3"/>
  <c r="AT18" i="3"/>
  <c r="AT11" i="3"/>
  <c r="AT12" i="3"/>
  <c r="AT8" i="3"/>
  <c r="AT13" i="3"/>
  <c r="AT15" i="3"/>
  <c r="AT20" i="3"/>
  <c r="AT14" i="3"/>
  <c r="AT19" i="3"/>
  <c r="AT21" i="3"/>
  <c r="AT22" i="3"/>
  <c r="AT23" i="3"/>
  <c r="AT24" i="3"/>
  <c r="AT6" i="3"/>
  <c r="AV4" i="3" l="1"/>
  <c r="AU3" i="3" s="1"/>
  <c r="AU8" i="3"/>
  <c r="AU9" i="3"/>
  <c r="AU15" i="3"/>
  <c r="AU10" i="3"/>
  <c r="AU16" i="3"/>
  <c r="AU17" i="3"/>
  <c r="AU11" i="3"/>
  <c r="AU19" i="3"/>
  <c r="AU7" i="3"/>
  <c r="AU12" i="3"/>
  <c r="AU20" i="3"/>
  <c r="AU14" i="3"/>
  <c r="AU21" i="3"/>
  <c r="AU13" i="3"/>
  <c r="AU22" i="3"/>
  <c r="AU23" i="3"/>
  <c r="AU18" i="3"/>
  <c r="AU24" i="3"/>
  <c r="AU6" i="3"/>
  <c r="AW4" i="3" l="1"/>
  <c r="AV7" i="3"/>
  <c r="AV8" i="3"/>
  <c r="AV16" i="3"/>
  <c r="AV10" i="3"/>
  <c r="AV14" i="3"/>
  <c r="AV15" i="3"/>
  <c r="AV9" i="3"/>
  <c r="AV18" i="3"/>
  <c r="AV11" i="3"/>
  <c r="AV19" i="3"/>
  <c r="AV17" i="3"/>
  <c r="AV20" i="3"/>
  <c r="AV21" i="3"/>
  <c r="AV13" i="3"/>
  <c r="AV22" i="3"/>
  <c r="AV12" i="3"/>
  <c r="AV23" i="3"/>
  <c r="AV24" i="3"/>
  <c r="AV6" i="3"/>
  <c r="AX4" i="3" l="1"/>
  <c r="AW7" i="3"/>
  <c r="AW15" i="3"/>
  <c r="AW8" i="3"/>
  <c r="AW9" i="3"/>
  <c r="AW13" i="3"/>
  <c r="AW14" i="3"/>
  <c r="AW10" i="3"/>
  <c r="AW16" i="3"/>
  <c r="AW17" i="3"/>
  <c r="AW18" i="3"/>
  <c r="AW11" i="3"/>
  <c r="AW24" i="3"/>
  <c r="AW6" i="3"/>
  <c r="AW19" i="3"/>
  <c r="AW20" i="3"/>
  <c r="AW21" i="3"/>
  <c r="AW22" i="3"/>
  <c r="AW23" i="3"/>
  <c r="AW12" i="3"/>
  <c r="AY4" i="3" l="1"/>
  <c r="AX14" i="3"/>
  <c r="AX7" i="3"/>
  <c r="AX8" i="3"/>
  <c r="AX12" i="3"/>
  <c r="AX13" i="3"/>
  <c r="AX15" i="3"/>
  <c r="AX9" i="3"/>
  <c r="AX10" i="3"/>
  <c r="AX17" i="3"/>
  <c r="AX23" i="3"/>
  <c r="AX11" i="3"/>
  <c r="AX16" i="3"/>
  <c r="AX24" i="3"/>
  <c r="AX6" i="3"/>
  <c r="AX19" i="3"/>
  <c r="AX20" i="3"/>
  <c r="AX21" i="3"/>
  <c r="AX18" i="3"/>
  <c r="AX22" i="3"/>
  <c r="AZ4" i="3" l="1"/>
  <c r="AY3" i="3" s="1"/>
  <c r="AY13" i="3"/>
  <c r="AY7" i="3"/>
  <c r="AY11" i="3"/>
  <c r="AY12" i="3"/>
  <c r="AY14" i="3"/>
  <c r="AY15" i="3"/>
  <c r="AY9" i="3"/>
  <c r="AY10" i="3"/>
  <c r="AY16" i="3"/>
  <c r="AY8" i="3"/>
  <c r="AY18" i="3"/>
  <c r="AY22" i="3"/>
  <c r="AY23" i="3"/>
  <c r="AY24" i="3"/>
  <c r="AY6" i="3"/>
  <c r="AY19" i="3"/>
  <c r="AY21" i="3"/>
  <c r="AY20" i="3"/>
  <c r="AY17" i="3"/>
  <c r="BA4" i="3" l="1"/>
  <c r="AZ12" i="3"/>
  <c r="AZ18" i="3"/>
  <c r="AZ11" i="3"/>
  <c r="AZ19" i="3"/>
  <c r="AZ13" i="3"/>
  <c r="AZ14" i="3"/>
  <c r="AZ15" i="3"/>
  <c r="AZ9" i="3"/>
  <c r="AZ10" i="3"/>
  <c r="AZ16" i="3"/>
  <c r="AZ17" i="3"/>
  <c r="AZ21" i="3"/>
  <c r="AZ8" i="3"/>
  <c r="AZ22" i="3"/>
  <c r="AZ7" i="3"/>
  <c r="AZ23" i="3"/>
  <c r="AZ24" i="3"/>
  <c r="AZ6" i="3"/>
  <c r="AZ20" i="3"/>
  <c r="BB4" i="3" l="1"/>
  <c r="BA8" i="3"/>
  <c r="BA11" i="3"/>
  <c r="BA17" i="3"/>
  <c r="BA18" i="3"/>
  <c r="BA12" i="3"/>
  <c r="BA13" i="3"/>
  <c r="BA14" i="3"/>
  <c r="BA15" i="3"/>
  <c r="BA9" i="3"/>
  <c r="BA20" i="3"/>
  <c r="BA19" i="3"/>
  <c r="BA21" i="3"/>
  <c r="BA16" i="3"/>
  <c r="BA22" i="3"/>
  <c r="BA7" i="3"/>
  <c r="BA23" i="3"/>
  <c r="BA10" i="3"/>
  <c r="BA24" i="3"/>
  <c r="BA6" i="3"/>
  <c r="BC4" i="3" l="1"/>
  <c r="BB7" i="3"/>
  <c r="BB9" i="3"/>
  <c r="BB10" i="3"/>
  <c r="BB8" i="3"/>
  <c r="BB17" i="3"/>
  <c r="BB11" i="3"/>
  <c r="BB18" i="3"/>
  <c r="BB12" i="3"/>
  <c r="BB13" i="3"/>
  <c r="BB14" i="3"/>
  <c r="BB20" i="3"/>
  <c r="BB15" i="3"/>
  <c r="BB21" i="3"/>
  <c r="BB16" i="3"/>
  <c r="BB22" i="3"/>
  <c r="BB23" i="3"/>
  <c r="BB24" i="3"/>
  <c r="BB6" i="3"/>
  <c r="BB19" i="3"/>
  <c r="BD4" i="3" l="1"/>
  <c r="BC8" i="3"/>
  <c r="BC9" i="3"/>
  <c r="BC7" i="3"/>
  <c r="BC16" i="3"/>
  <c r="BC17" i="3"/>
  <c r="BC11" i="3"/>
  <c r="BC12" i="3"/>
  <c r="BC19" i="3"/>
  <c r="BC13" i="3"/>
  <c r="BC18" i="3"/>
  <c r="BC20" i="3"/>
  <c r="BC15" i="3"/>
  <c r="BC21" i="3"/>
  <c r="BC14" i="3"/>
  <c r="BC22" i="3"/>
  <c r="BC10" i="3"/>
  <c r="BC23" i="3"/>
  <c r="BC24" i="3"/>
  <c r="BC6" i="3"/>
  <c r="BE4" i="3" l="1"/>
  <c r="BD3" i="3" s="1"/>
  <c r="BD7" i="3"/>
  <c r="BD8" i="3"/>
  <c r="BD16" i="3"/>
  <c r="BD10" i="3"/>
  <c r="BD15" i="3"/>
  <c r="BD11" i="3"/>
  <c r="BD18" i="3"/>
  <c r="BD12" i="3"/>
  <c r="BD19" i="3"/>
  <c r="BD9" i="3"/>
  <c r="BD17" i="3"/>
  <c r="BD20" i="3"/>
  <c r="BD21" i="3"/>
  <c r="BD14" i="3"/>
  <c r="BD22" i="3"/>
  <c r="BD13" i="3"/>
  <c r="BD23" i="3"/>
  <c r="BD24" i="3"/>
  <c r="BD6" i="3"/>
  <c r="BF4" i="3" l="1"/>
  <c r="BE7" i="3"/>
  <c r="BE15" i="3"/>
  <c r="BE8" i="3"/>
  <c r="BE9" i="3"/>
  <c r="BE10" i="3"/>
  <c r="BE14" i="3"/>
  <c r="BE16" i="3"/>
  <c r="BE17" i="3"/>
  <c r="BE11" i="3"/>
  <c r="BE18" i="3"/>
  <c r="BE12" i="3"/>
  <c r="BE19" i="3"/>
  <c r="BE24" i="3"/>
  <c r="BE6" i="3"/>
  <c r="BE20" i="3"/>
  <c r="BE21" i="3"/>
  <c r="BE22" i="3"/>
  <c r="BE23" i="3"/>
  <c r="BE13" i="3"/>
  <c r="BG4" i="3" l="1"/>
  <c r="BF14" i="3"/>
  <c r="BF7" i="3"/>
  <c r="BF8" i="3"/>
  <c r="BF9" i="3"/>
  <c r="BF13" i="3"/>
  <c r="BF10" i="3"/>
  <c r="BF15" i="3"/>
  <c r="BF16" i="3"/>
  <c r="BF17" i="3"/>
  <c r="BF23" i="3"/>
  <c r="BF12" i="3"/>
  <c r="BF19" i="3"/>
  <c r="BF24" i="3"/>
  <c r="BF6" i="3"/>
  <c r="BF11" i="3"/>
  <c r="BF18" i="3"/>
  <c r="BF20" i="3"/>
  <c r="BF21" i="3"/>
  <c r="BF22" i="3"/>
  <c r="BH4" i="3" l="1"/>
  <c r="BG13" i="3"/>
  <c r="BG7" i="3"/>
  <c r="BG12" i="3"/>
  <c r="BG8" i="3"/>
  <c r="BG9" i="3"/>
  <c r="BG14" i="3"/>
  <c r="BG10" i="3"/>
  <c r="BG15" i="3"/>
  <c r="BG22" i="3"/>
  <c r="BG23" i="3"/>
  <c r="BG17" i="3"/>
  <c r="BG19" i="3"/>
  <c r="BG24" i="3"/>
  <c r="BG6" i="3"/>
  <c r="BG11" i="3"/>
  <c r="BG18" i="3"/>
  <c r="BG16" i="3"/>
  <c r="BG20" i="3"/>
  <c r="BG21" i="3"/>
  <c r="BI4" i="3" l="1"/>
  <c r="BH3" i="3" s="1"/>
  <c r="BH12" i="3"/>
  <c r="BH11" i="3"/>
  <c r="BH18" i="3"/>
  <c r="BH7" i="3"/>
  <c r="BH13" i="3"/>
  <c r="BH19" i="3"/>
  <c r="BH8" i="3"/>
  <c r="BH9" i="3"/>
  <c r="BH14" i="3"/>
  <c r="BH10" i="3"/>
  <c r="BH15" i="3"/>
  <c r="BH16" i="3"/>
  <c r="BH21" i="3"/>
  <c r="BH22" i="3"/>
  <c r="BH23" i="3"/>
  <c r="BH17" i="3"/>
  <c r="BH24" i="3"/>
  <c r="BH6" i="3"/>
  <c r="BH20" i="3"/>
  <c r="BJ4" i="3" l="1"/>
  <c r="BI8" i="3"/>
  <c r="BI11" i="3"/>
  <c r="BI17" i="3"/>
  <c r="BI12" i="3"/>
  <c r="BI18" i="3"/>
  <c r="BI7" i="3"/>
  <c r="BI13" i="3"/>
  <c r="BI9" i="3"/>
  <c r="BI14" i="3"/>
  <c r="BI10" i="3"/>
  <c r="BI15" i="3"/>
  <c r="BI16" i="3"/>
  <c r="BI20" i="3"/>
  <c r="BI21" i="3"/>
  <c r="BI22" i="3"/>
  <c r="BI19" i="3"/>
  <c r="BI23" i="3"/>
  <c r="BI24" i="3"/>
  <c r="BI6" i="3"/>
  <c r="BK4" i="3" l="1"/>
  <c r="BJ7" i="3"/>
  <c r="BJ10" i="3"/>
  <c r="BJ11" i="3"/>
  <c r="BJ17" i="3"/>
  <c r="BJ12" i="3"/>
  <c r="BJ18" i="3"/>
  <c r="BJ8" i="3"/>
  <c r="BJ13" i="3"/>
  <c r="BJ9" i="3"/>
  <c r="BJ14" i="3"/>
  <c r="BJ15" i="3"/>
  <c r="BJ20" i="3"/>
  <c r="BJ21" i="3"/>
  <c r="BJ6" i="3"/>
  <c r="BJ22" i="3"/>
  <c r="BJ19" i="3"/>
  <c r="BJ23" i="3"/>
  <c r="BJ16" i="3"/>
  <c r="BJ24" i="3"/>
  <c r="BL4" i="3" l="1"/>
  <c r="BK8" i="3"/>
  <c r="BK9" i="3"/>
  <c r="BK11" i="3"/>
  <c r="BK17" i="3"/>
  <c r="BK7" i="3"/>
  <c r="BK12" i="3"/>
  <c r="BK13" i="3"/>
  <c r="BK19" i="3"/>
  <c r="BK10" i="3"/>
  <c r="BK14" i="3"/>
  <c r="BK20" i="3"/>
  <c r="BK16" i="3"/>
  <c r="BK21" i="3"/>
  <c r="BK15" i="3"/>
  <c r="BK18" i="3"/>
  <c r="BK22" i="3"/>
  <c r="BK23" i="3"/>
  <c r="BK24" i="3"/>
  <c r="BK6" i="3"/>
  <c r="BM4" i="3" l="1"/>
  <c r="BL3" i="3" s="1"/>
  <c r="BL7" i="3"/>
  <c r="BL8" i="3"/>
  <c r="BL16" i="3"/>
  <c r="BL10" i="3"/>
  <c r="BL11" i="3"/>
  <c r="BL12" i="3"/>
  <c r="BL18" i="3"/>
  <c r="BL9" i="3"/>
  <c r="BL13" i="3"/>
  <c r="BL19" i="3"/>
  <c r="BL20" i="3"/>
  <c r="BL17" i="3"/>
  <c r="BL21" i="3"/>
  <c r="BL15" i="3"/>
  <c r="BL22" i="3"/>
  <c r="BL14" i="3"/>
  <c r="BL24" i="3"/>
  <c r="BL6" i="3"/>
  <c r="BL23" i="3"/>
  <c r="BN4" i="3" l="1"/>
  <c r="BM7" i="3"/>
  <c r="BM15" i="3"/>
  <c r="BM8" i="3"/>
  <c r="BM9" i="3"/>
  <c r="BM16" i="3"/>
  <c r="BM11" i="3"/>
  <c r="BM17" i="3"/>
  <c r="BM12" i="3"/>
  <c r="BM18" i="3"/>
  <c r="BM13" i="3"/>
  <c r="BM24" i="3"/>
  <c r="BM6" i="3"/>
  <c r="BM10" i="3"/>
  <c r="BM21" i="3"/>
  <c r="BM20" i="3"/>
  <c r="BM19" i="3"/>
  <c r="BM14" i="3"/>
  <c r="BM23" i="3"/>
  <c r="BM22" i="3"/>
  <c r="BO4" i="3" l="1"/>
  <c r="BN14" i="3"/>
  <c r="BN7" i="3"/>
  <c r="BN8" i="3"/>
  <c r="BN15" i="3"/>
  <c r="BN16" i="3"/>
  <c r="BN11" i="3"/>
  <c r="BN17" i="3"/>
  <c r="BN23" i="3"/>
  <c r="BN13" i="3"/>
  <c r="BN24" i="3"/>
  <c r="BN6" i="3"/>
  <c r="BN9" i="3"/>
  <c r="BN12" i="3"/>
  <c r="BN18" i="3"/>
  <c r="BN20" i="3"/>
  <c r="BN19" i="3"/>
  <c r="BN10" i="3"/>
  <c r="BN22" i="3"/>
  <c r="BN21" i="3"/>
  <c r="BP4" i="3" l="1"/>
  <c r="BO13" i="3"/>
  <c r="BO7" i="3"/>
  <c r="BO10" i="3"/>
  <c r="BO14" i="3"/>
  <c r="BO15" i="3"/>
  <c r="BO16" i="3"/>
  <c r="BO8" i="3"/>
  <c r="BO22" i="3"/>
  <c r="BO20" i="3"/>
  <c r="BO23" i="3"/>
  <c r="BO24" i="3"/>
  <c r="BO6" i="3"/>
  <c r="BO18" i="3"/>
  <c r="BO9" i="3"/>
  <c r="BO12" i="3"/>
  <c r="BO11" i="3"/>
  <c r="BO17" i="3"/>
  <c r="BO21" i="3"/>
  <c r="BO19" i="3"/>
  <c r="BQ4" i="3" l="1"/>
  <c r="BP12" i="3"/>
  <c r="BP9" i="3"/>
  <c r="BP13" i="3"/>
  <c r="BP18" i="3"/>
  <c r="BP10" i="3"/>
  <c r="BP14" i="3"/>
  <c r="BP19" i="3"/>
  <c r="BP15" i="3"/>
  <c r="BP7" i="3"/>
  <c r="BP8" i="3"/>
  <c r="BP21" i="3"/>
  <c r="BP22" i="3"/>
  <c r="BP23" i="3"/>
  <c r="BP24" i="3"/>
  <c r="BP6" i="3"/>
  <c r="BP11" i="3"/>
  <c r="BP17" i="3"/>
  <c r="BP20" i="3"/>
  <c r="BP16" i="3"/>
  <c r="BR4" i="3" l="1"/>
  <c r="BQ3" i="3" s="1"/>
  <c r="BQ8" i="3"/>
  <c r="BQ11" i="3"/>
  <c r="BQ12" i="3"/>
  <c r="BQ17" i="3"/>
  <c r="BQ9" i="3"/>
  <c r="BQ13" i="3"/>
  <c r="BQ18" i="3"/>
  <c r="BQ10" i="3"/>
  <c r="BQ14" i="3"/>
  <c r="BQ15" i="3"/>
  <c r="BQ16" i="3"/>
  <c r="BQ7" i="3"/>
  <c r="BQ19" i="3"/>
  <c r="BQ20" i="3"/>
  <c r="BQ21" i="3"/>
  <c r="BQ22" i="3"/>
  <c r="BQ23" i="3"/>
  <c r="BQ24" i="3"/>
  <c r="BQ6" i="3"/>
  <c r="BS4" i="3" l="1"/>
  <c r="BR7" i="3"/>
  <c r="BR10" i="3"/>
  <c r="BR11" i="3"/>
  <c r="BR12" i="3"/>
  <c r="BR17" i="3"/>
  <c r="BR9" i="3"/>
  <c r="BR13" i="3"/>
  <c r="BR18" i="3"/>
  <c r="BR14" i="3"/>
  <c r="BR15" i="3"/>
  <c r="BR16" i="3"/>
  <c r="BR6" i="3"/>
  <c r="BR19" i="3"/>
  <c r="BR20" i="3"/>
  <c r="BR24" i="3"/>
  <c r="BR8" i="3"/>
  <c r="BR21" i="3"/>
  <c r="BR22" i="3"/>
  <c r="BR23" i="3"/>
  <c r="BT4" i="3" l="1"/>
  <c r="BS8" i="3"/>
  <c r="BS9" i="3"/>
  <c r="BS11" i="3"/>
  <c r="BS12" i="3"/>
  <c r="BS17" i="3"/>
  <c r="BS10" i="3"/>
  <c r="BS13" i="3"/>
  <c r="BS14" i="3"/>
  <c r="BS19" i="3"/>
  <c r="BS15" i="3"/>
  <c r="BS16" i="3"/>
  <c r="BS20" i="3"/>
  <c r="BS21" i="3"/>
  <c r="BS7" i="3"/>
  <c r="BS22" i="3"/>
  <c r="BS23" i="3"/>
  <c r="BS18" i="3"/>
  <c r="BS24" i="3"/>
  <c r="BS6" i="3"/>
  <c r="BU4" i="3" l="1"/>
  <c r="BT7" i="3"/>
  <c r="BT8" i="3"/>
  <c r="BT16" i="3"/>
  <c r="BT10" i="3"/>
  <c r="BT11" i="3"/>
  <c r="BT9" i="3"/>
  <c r="BT12" i="3"/>
  <c r="BT13" i="3"/>
  <c r="BT18" i="3"/>
  <c r="BT14" i="3"/>
  <c r="BT19" i="3"/>
  <c r="BT20" i="3"/>
  <c r="BT21" i="3"/>
  <c r="BT22" i="3"/>
  <c r="BT15" i="3"/>
  <c r="BT17" i="3"/>
  <c r="BT24" i="3"/>
  <c r="BT6" i="3"/>
  <c r="BT23" i="3"/>
  <c r="BV4" i="3" l="1"/>
  <c r="BU7" i="3"/>
  <c r="BU15" i="3"/>
  <c r="BU8" i="3"/>
  <c r="BU9" i="3"/>
  <c r="BU11" i="3"/>
  <c r="BU10" i="3"/>
  <c r="BU12" i="3"/>
  <c r="BU17" i="3"/>
  <c r="BU13" i="3"/>
  <c r="BU18" i="3"/>
  <c r="BU14" i="3"/>
  <c r="BU24" i="3"/>
  <c r="BU6" i="3"/>
  <c r="BU16" i="3"/>
  <c r="BU19" i="3"/>
  <c r="BU20" i="3"/>
  <c r="BU21" i="3"/>
  <c r="BU23" i="3"/>
  <c r="BU22" i="3"/>
  <c r="BU2" i="3" l="1"/>
  <c r="BU3" i="3"/>
  <c r="BW4" i="3"/>
  <c r="BV14" i="3"/>
  <c r="BV7" i="3"/>
  <c r="BV8" i="3"/>
  <c r="BV16" i="3"/>
  <c r="BV9" i="3"/>
  <c r="BV11" i="3"/>
  <c r="BV10" i="3"/>
  <c r="BV12" i="3"/>
  <c r="BV17" i="3"/>
  <c r="BV18" i="3"/>
  <c r="BV23" i="3"/>
  <c r="BV24" i="3"/>
  <c r="BV6" i="3"/>
  <c r="BV13" i="3"/>
  <c r="BV19" i="3"/>
  <c r="BV20" i="3"/>
  <c r="BV22" i="3"/>
  <c r="BV15" i="3"/>
  <c r="BV21" i="3"/>
  <c r="BX4" i="3" l="1"/>
  <c r="BW13" i="3"/>
  <c r="BW7" i="3"/>
  <c r="BW15" i="3"/>
  <c r="BW16" i="3"/>
  <c r="BW9" i="3"/>
  <c r="BW11" i="3"/>
  <c r="BW10" i="3"/>
  <c r="BW17" i="3"/>
  <c r="BW22" i="3"/>
  <c r="BW14" i="3"/>
  <c r="BW18" i="3"/>
  <c r="BW23" i="3"/>
  <c r="BW24" i="3"/>
  <c r="BW6" i="3"/>
  <c r="BW20" i="3"/>
  <c r="BW8" i="3"/>
  <c r="BW12" i="3"/>
  <c r="BW19" i="3"/>
  <c r="BW21" i="3"/>
  <c r="BX12" i="3" l="1"/>
  <c r="BX8" i="3"/>
  <c r="BX14" i="3"/>
  <c r="BX18" i="3"/>
  <c r="BX15" i="3"/>
  <c r="BX19" i="3"/>
  <c r="BX16" i="3"/>
  <c r="BX21" i="3"/>
  <c r="BX10" i="3"/>
  <c r="BX17" i="3"/>
  <c r="BX22" i="3"/>
  <c r="BX23" i="3"/>
  <c r="BX13" i="3"/>
  <c r="BX24" i="3"/>
  <c r="BX6" i="3"/>
  <c r="BX11" i="3"/>
  <c r="BX9" i="3"/>
  <c r="BX7" i="3"/>
  <c r="BX20" i="3"/>
</calcChain>
</file>

<file path=xl/sharedStrings.xml><?xml version="1.0" encoding="utf-8"?>
<sst xmlns="http://schemas.openxmlformats.org/spreadsheetml/2006/main" count="82" uniqueCount="48">
  <si>
    <t>Projeto</t>
  </si>
  <si>
    <t>Tipo de atividade</t>
  </si>
  <si>
    <t>Cliente</t>
  </si>
  <si>
    <t>Participantes</t>
  </si>
  <si>
    <t>Data de Início</t>
  </si>
  <si>
    <t>Data estimada de Conclusão</t>
  </si>
  <si>
    <t>Descrição Técnica</t>
  </si>
  <si>
    <t>Responsáveis</t>
  </si>
  <si>
    <t>Início</t>
  </si>
  <si>
    <t>Término</t>
  </si>
  <si>
    <t>Status</t>
  </si>
  <si>
    <t>Progresso</t>
  </si>
  <si>
    <t>ID</t>
  </si>
  <si>
    <t>Não Iniciado</t>
  </si>
  <si>
    <t>Em Progresso</t>
  </si>
  <si>
    <t>Pausado</t>
  </si>
  <si>
    <t>Completo</t>
  </si>
  <si>
    <t>thiago</t>
  </si>
  <si>
    <t>Clientes</t>
  </si>
  <si>
    <t>Tipo de Atividade</t>
  </si>
  <si>
    <t>CEMIG</t>
  </si>
  <si>
    <t>TAMBASA</t>
  </si>
  <si>
    <t>NANSEM</t>
  </si>
  <si>
    <t>MATERDEI</t>
  </si>
  <si>
    <t>USIMINAS</t>
  </si>
  <si>
    <t>SAINT-GLOBAN</t>
  </si>
  <si>
    <t>ANGLO AMERICAN</t>
  </si>
  <si>
    <t>ACELLORMITTAL PECÉM</t>
  </si>
  <si>
    <t>DESENVOLVIMENTO DE SOFTWARE</t>
  </si>
  <si>
    <t>ALINHAMENTO TÉCNICO INICIAL</t>
  </si>
  <si>
    <t>SUPORTE TÉCNICO</t>
  </si>
  <si>
    <t>ANÁLISE DE GRAVAÇÃO RFID</t>
  </si>
  <si>
    <t>CALL TÉCNICA RÁPIDA</t>
  </si>
  <si>
    <t>INTEGRAÇÃO</t>
  </si>
  <si>
    <t>TREINAMENTO</t>
  </si>
  <si>
    <t>OPERAÇÃO ASSISTIDA</t>
  </si>
  <si>
    <t>DATA</t>
  </si>
  <si>
    <t>ATIVIDADE</t>
  </si>
  <si>
    <t>CLIENTE</t>
  </si>
  <si>
    <t>PROJETO</t>
  </si>
  <si>
    <t>TEMPO GASTO EM HORAS</t>
  </si>
  <si>
    <t>Horas totais</t>
  </si>
  <si>
    <t>Local</t>
  </si>
  <si>
    <t>MOVIMENTAÇÃO DE ATIVIDADES</t>
  </si>
  <si>
    <t>Duração (h)</t>
  </si>
  <si>
    <t>Status Cronograma</t>
  </si>
  <si>
    <t>Responsável</t>
  </si>
  <si>
    <t>Projeto Estoque Digital - RFID Logistica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</si>
</sst>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"/>
    <numFmt numFmtId="165" formatCode="dd/mm/yy"/>
    <numFmt numFmtId="166" formatCode="mmm"/>
    <numFmt numFmtId="167" formatCode="yyyy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Wingdings"/>
      <charset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theme="5" tint="0.59999389629810485"/>
      </patternFill>
    </fill>
    <fill>
      <patternFill patternType="solid">
        <fgColor rgb="FFFBE2D5"/>
        <bgColor rgb="FFFBE2D5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1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6" borderId="4" xfId="0" applyFont="1" applyFill="1" applyBorder="1"/>
    <xf numFmtId="14" fontId="1" fillId="6" borderId="4" xfId="0" applyNumberFormat="1" applyFont="1" applyFill="1" applyBorder="1"/>
    <xf numFmtId="164" fontId="0" fillId="4" borderId="8" xfId="0" applyNumberFormat="1" applyFill="1" applyBorder="1" applyAlignment="1">
      <alignment textRotation="90"/>
    </xf>
    <xf numFmtId="164" fontId="0" fillId="4" borderId="0" xfId="0" applyNumberFormat="1" applyFill="1" applyAlignment="1">
      <alignment textRotation="90"/>
    </xf>
    <xf numFmtId="164" fontId="0" fillId="4" borderId="9" xfId="0" applyNumberFormat="1" applyFill="1" applyBorder="1" applyAlignment="1">
      <alignment textRotation="90"/>
    </xf>
    <xf numFmtId="164" fontId="0" fillId="7" borderId="8" xfId="0" applyNumberFormat="1" applyFill="1" applyBorder="1" applyAlignment="1">
      <alignment textRotation="90"/>
    </xf>
    <xf numFmtId="164" fontId="0" fillId="7" borderId="0" xfId="0" applyNumberFormat="1" applyFill="1" applyAlignment="1">
      <alignment textRotation="90"/>
    </xf>
    <xf numFmtId="164" fontId="0" fillId="7" borderId="9" xfId="0" applyNumberFormat="1" applyFill="1" applyBorder="1" applyAlignment="1">
      <alignment textRotation="90"/>
    </xf>
    <xf numFmtId="164" fontId="0" fillId="5" borderId="8" xfId="0" applyNumberFormat="1" applyFill="1" applyBorder="1" applyAlignment="1">
      <alignment textRotation="90"/>
    </xf>
    <xf numFmtId="164" fontId="0" fillId="5" borderId="0" xfId="0" applyNumberFormat="1" applyFill="1" applyAlignment="1">
      <alignment textRotation="90"/>
    </xf>
    <xf numFmtId="164" fontId="0" fillId="5" borderId="9" xfId="0" applyNumberFormat="1" applyFill="1" applyBorder="1" applyAlignment="1">
      <alignment textRotation="90"/>
    </xf>
    <xf numFmtId="0" fontId="0" fillId="3" borderId="10" xfId="0" applyFill="1" applyBorder="1"/>
    <xf numFmtId="0" fontId="0" fillId="3" borderId="11" xfId="0" applyFill="1" applyBorder="1"/>
    <xf numFmtId="0" fontId="0" fillId="0" borderId="9" xfId="0" applyBorder="1"/>
    <xf numFmtId="0" fontId="0" fillId="0" borderId="12" xfId="0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0" fontId="0" fillId="0" borderId="12" xfId="0" applyBorder="1"/>
    <xf numFmtId="0" fontId="0" fillId="0" borderId="13" xfId="0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9" fontId="0" fillId="0" borderId="13" xfId="1" applyFont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/>
    </xf>
    <xf numFmtId="0" fontId="1" fillId="11" borderId="25" xfId="0" applyFont="1" applyFill="1" applyBorder="1" applyAlignment="1">
      <alignment horizontal="center" vertical="center"/>
    </xf>
    <xf numFmtId="0" fontId="0" fillId="6" borderId="32" xfId="0" applyFill="1" applyBorder="1" applyAlignment="1">
      <alignment horizontal="left" vertical="center"/>
    </xf>
    <xf numFmtId="0" fontId="0" fillId="11" borderId="32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6" borderId="33" xfId="0" applyFill="1" applyBorder="1" applyAlignment="1">
      <alignment horizontal="left" vertical="center"/>
    </xf>
    <xf numFmtId="0" fontId="0" fillId="11" borderId="33" xfId="0" applyFill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1" fillId="12" borderId="25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left" vertical="center"/>
    </xf>
    <xf numFmtId="0" fontId="0" fillId="12" borderId="33" xfId="0" applyFill="1" applyBorder="1" applyAlignment="1">
      <alignment horizontal="left" vertical="center"/>
    </xf>
    <xf numFmtId="0" fontId="1" fillId="13" borderId="34" xfId="0" applyFont="1" applyFill="1" applyBorder="1" applyAlignment="1">
      <alignment horizontal="center" vertical="center"/>
    </xf>
    <xf numFmtId="0" fontId="1" fillId="13" borderId="35" xfId="0" applyFont="1" applyFill="1" applyBorder="1" applyAlignment="1">
      <alignment horizontal="center" vertical="center"/>
    </xf>
    <xf numFmtId="14" fontId="0" fillId="0" borderId="0" xfId="0" applyNumberFormat="1"/>
    <xf numFmtId="0" fontId="1" fillId="3" borderId="24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9" fontId="0" fillId="0" borderId="36" xfId="1" applyFont="1" applyBorder="1" applyAlignment="1">
      <alignment horizontal="center" vertical="center"/>
    </xf>
    <xf numFmtId="0" fontId="1" fillId="3" borderId="24" xfId="0" applyFont="1" applyFill="1" applyBorder="1" applyAlignment="1">
      <alignment horizontal="left" vertical="center"/>
    </xf>
    <xf numFmtId="0" fontId="0" fillId="18" borderId="37" xfId="0" applyFill="1" applyBorder="1"/>
    <xf numFmtId="0" fontId="0" fillId="18" borderId="38" xfId="0" applyFill="1" applyBorder="1" applyAlignment="1">
      <alignment horizontal="center" vertical="center"/>
    </xf>
    <xf numFmtId="0" fontId="1" fillId="13" borderId="39" xfId="0" applyFont="1" applyFill="1" applyBorder="1" applyAlignment="1">
      <alignment horizontal="center" vertical="center"/>
    </xf>
    <xf numFmtId="0" fontId="0" fillId="18" borderId="38" xfId="0" applyFill="1" applyBorder="1"/>
    <xf numFmtId="14" fontId="6" fillId="19" borderId="41" xfId="0" applyNumberFormat="1" applyFont="1" applyFill="1" applyBorder="1"/>
    <xf numFmtId="0" fontId="1" fillId="0" borderId="0" xfId="0" applyFont="1" applyAlignment="1">
      <alignment horizontal="center" vertical="center"/>
    </xf>
    <xf numFmtId="166" fontId="0" fillId="9" borderId="0" xfId="0" applyNumberFormat="1" applyFill="1" applyAlignment="1">
      <alignment horizontal="center"/>
    </xf>
    <xf numFmtId="166" fontId="0" fillId="9" borderId="9" xfId="0" applyNumberFormat="1" applyFill="1" applyBorder="1" applyAlignment="1">
      <alignment horizontal="center"/>
    </xf>
    <xf numFmtId="166" fontId="0" fillId="10" borderId="8" xfId="0" applyNumberFormat="1" applyFill="1" applyBorder="1" applyAlignment="1">
      <alignment horizontal="center"/>
    </xf>
    <xf numFmtId="166" fontId="0" fillId="10" borderId="0" xfId="0" applyNumberFormat="1" applyFill="1" applyAlignment="1">
      <alignment horizontal="center"/>
    </xf>
    <xf numFmtId="166" fontId="0" fillId="10" borderId="9" xfId="0" applyNumberFormat="1" applyFill="1" applyBorder="1" applyAlignment="1">
      <alignment horizontal="center"/>
    </xf>
    <xf numFmtId="167" fontId="0" fillId="14" borderId="5" xfId="0" applyNumberFormat="1" applyFill="1" applyBorder="1" applyAlignment="1">
      <alignment horizontal="center"/>
    </xf>
    <xf numFmtId="167" fontId="0" fillId="14" borderId="6" xfId="0" applyNumberFormat="1" applyFill="1" applyBorder="1" applyAlignment="1">
      <alignment horizontal="center"/>
    </xf>
    <xf numFmtId="167" fontId="0" fillId="14" borderId="7" xfId="0" applyNumberFormat="1" applyFill="1" applyBorder="1" applyAlignment="1">
      <alignment horizontal="center"/>
    </xf>
    <xf numFmtId="167" fontId="0" fillId="15" borderId="5" xfId="0" applyNumberFormat="1" applyFill="1" applyBorder="1" applyAlignment="1">
      <alignment horizontal="center"/>
    </xf>
    <xf numFmtId="167" fontId="0" fillId="15" borderId="6" xfId="0" applyNumberFormat="1" applyFill="1" applyBorder="1" applyAlignment="1">
      <alignment horizontal="center"/>
    </xf>
    <xf numFmtId="167" fontId="0" fillId="15" borderId="7" xfId="0" applyNumberFormat="1" applyFill="1" applyBorder="1" applyAlignment="1">
      <alignment horizontal="center"/>
    </xf>
    <xf numFmtId="167" fontId="0" fillId="16" borderId="5" xfId="0" applyNumberFormat="1" applyFill="1" applyBorder="1" applyAlignment="1">
      <alignment horizontal="center"/>
    </xf>
    <xf numFmtId="167" fontId="0" fillId="16" borderId="6" xfId="0" applyNumberFormat="1" applyFill="1" applyBorder="1" applyAlignment="1">
      <alignment horizontal="center"/>
    </xf>
    <xf numFmtId="167" fontId="0" fillId="16" borderId="7" xfId="0" applyNumberFormat="1" applyFill="1" applyBorder="1" applyAlignment="1">
      <alignment horizontal="center"/>
    </xf>
    <xf numFmtId="166" fontId="0" fillId="8" borderId="8" xfId="0" applyNumberFormat="1" applyFill="1" applyBorder="1" applyAlignment="1">
      <alignment horizontal="center"/>
    </xf>
    <xf numFmtId="166" fontId="0" fillId="8" borderId="0" xfId="0" applyNumberFormat="1" applyFill="1" applyAlignment="1">
      <alignment horizontal="center"/>
    </xf>
    <xf numFmtId="166" fontId="0" fillId="8" borderId="9" xfId="0" applyNumberFormat="1" applyFill="1" applyBorder="1" applyAlignment="1">
      <alignment horizontal="center"/>
    </xf>
    <xf numFmtId="166" fontId="0" fillId="9" borderId="8" xfId="0" applyNumberFormat="1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5" fillId="17" borderId="29" xfId="0" applyFont="1" applyFill="1" applyBorder="1" applyAlignment="1">
      <alignment horizontal="center" vertical="center"/>
    </xf>
    <xf numFmtId="0" fontId="5" fillId="17" borderId="30" xfId="0" applyFont="1" applyFill="1" applyBorder="1" applyAlignment="1">
      <alignment horizontal="center" vertical="center"/>
    </xf>
    <xf numFmtId="0" fontId="5" fillId="17" borderId="31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dotted">
          <color indexed="64"/>
        </top>
        <bottom style="dott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dotted">
          <color indexed="64"/>
        </top>
        <bottom style="dott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dotted">
          <color indexed="64"/>
        </top>
        <bottom style="dotted">
          <color indexed="64"/>
        </bottom>
        <vertical/>
        <horizontal/>
      </border>
    </dxf>
    <dxf>
      <numFmt numFmtId="165" formatCode="dd/mm/yy"/>
      <alignment horizontal="center" vertical="center" textRotation="0" wrapText="0" indent="0" justifyLastLine="0" shrinkToFit="0" readingOrder="0"/>
      <border diagonalUp="0" diagonalDown="0">
        <left/>
        <right/>
        <top style="dotted">
          <color indexed="64"/>
        </top>
        <bottom style="dotted">
          <color indexed="64"/>
        </bottom>
        <vertical/>
        <horizontal style="dotted">
          <color indexed="64"/>
        </horizontal>
      </border>
    </dxf>
    <dxf>
      <numFmt numFmtId="165" formatCode="dd/mm/yy"/>
      <alignment horizontal="center" vertical="center" textRotation="0" wrapText="0" indent="0" justifyLastLine="0" shrinkToFit="0" readingOrder="0"/>
      <border diagonalUp="0" diagonalDown="0">
        <left/>
        <right/>
        <top style="dotted">
          <color indexed="64"/>
        </top>
        <bottom style="dotted">
          <color indexed="64"/>
        </bottom>
        <vertical/>
        <horizontal style="dott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dotted">
          <color indexed="64"/>
        </top>
        <bottom style="dott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dotted">
          <color indexed="64"/>
        </top>
        <bottom style="dott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dotted">
          <color indexed="64"/>
        </top>
        <bottom style="dott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left" vertical="center" textRotation="0" wrapText="0" indent="0" justifyLastLine="0" shrinkToFit="0" readingOrder="0"/>
    </dxf>
    <dxf>
      <border>
        <left style="thin">
          <color rgb="FFC00000"/>
        </left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9" tint="-0.499984740745262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95250</xdr:rowOff>
        </xdr:from>
        <xdr:to>
          <xdr:col>7</xdr:col>
          <xdr:colOff>733425</xdr:colOff>
          <xdr:row>2</xdr:row>
          <xdr:rowOff>238125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1800225</xdr:colOff>
          <xdr:row>0</xdr:row>
          <xdr:rowOff>57150</xdr:rowOff>
        </xdr:from>
        <xdr:to>
          <xdr:col>7</xdr:col>
          <xdr:colOff>609600</xdr:colOff>
          <xdr:row>0</xdr:row>
          <xdr:rowOff>257175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EBF353-EF1B-4E54-906B-59256C3C7F04}" name="Tabela1" displayName="Tabela1" ref="A1:I21" totalsRowShown="0">
  <autoFilter ref="A1:I21" xr:uid="{5BEBF353-EF1B-4E54-906B-59256C3C7F04}"/>
  <tableColumns count="9">
    <tableColumn id="1" xr3:uid="{B5EBA47A-EB32-4813-BB0A-E51DE03A2176}" name="Projeto"/>
    <tableColumn id="2" xr3:uid="{C101F5F7-4627-4AEC-AC0C-460CBD497F89}" name="Tipo de atividade"/>
    <tableColumn id="3" xr3:uid="{D64C4F69-21E6-41F9-A4D9-E5E2F4BF1C31}" name="Cliente" dataDxfId="22"/>
    <tableColumn id="4" xr3:uid="{901FAB01-A4FD-481F-8EFE-CED46EDA2375}" name="Local"/>
    <tableColumn id="11" xr3:uid="{2713F79B-92CA-48BC-A05B-A187F7569A5D}" name="Data de Início"/>
    <tableColumn id="5" xr3:uid="{FB074478-9CDB-486A-A6CC-9E7FAAA821FE}" name="Data estimada de Conclusão"/>
    <tableColumn id="9" xr3:uid="{B3E1A019-D007-44D1-A56E-C5070CE3D193}" name="Horas totais"/>
    <tableColumn id="6" xr3:uid="{7CA0CF84-8EE2-4961-8697-04D0100935F3}" name="Participantes"/>
    <tableColumn id="7" xr3:uid="{CA8229C9-6C69-4B85-B7CF-70CDAB6131C5}" name="Descrição Técnica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48BA3C-052C-43A6-914D-D5C4C8F9602D}" name="tbl_cronograma" displayName="tbl_cronograma" ref="B5:J24" totalsRowShown="0" headerRowDxfId="13" headerRowBorderDxfId="12" tableBorderDxfId="11">
  <autoFilter ref="B5:J24" xr:uid="{E648BA3C-052C-43A6-914D-D5C4C8F9602D}"/>
  <tableColumns count="9">
    <tableColumn id="1" xr3:uid="{13533A78-CB3B-4B04-B9C7-5083BFCDD22E}" name="ID" dataDxfId="10"/>
    <tableColumn id="2" xr3:uid="{F08E22EF-C939-4D99-9441-83A9196D9F37}" name="Projeto" dataDxfId="9"/>
    <tableColumn id="3" xr3:uid="{75CA2692-20AB-4A2F-860A-32379EF690ED}" name="Cliente" dataDxfId="8"/>
    <tableColumn id="4" xr3:uid="{E4DDF8A4-699A-465F-A669-577CA901F03A}" name="Responsáveis" dataDxfId="7"/>
    <tableColumn id="5" xr3:uid="{F886EBB1-B2DB-4603-90C4-15BA9021E928}" name="Início" dataDxfId="6"/>
    <tableColumn id="6" xr3:uid="{3A89ABCF-7EC1-4987-8787-6729FBFA5BFD}" name="Término" dataDxfId="5"/>
    <tableColumn id="7" xr3:uid="{4E1B60D0-EA70-40AA-A6A1-5E077299ED16}" name="Duração (h)" dataDxfId="4"/>
    <tableColumn id="8" xr3:uid="{13FA4765-96B1-4095-B7C0-626A6CC020E7}" name="Status" dataDxfId="3"/>
    <tableColumn id="9" xr3:uid="{BCBD7F3B-3F7A-4E2F-B265-ECB066129FFB}" name="Progresso" dataDxfId="2" dataCellStyle="Porcentagem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0426FE-8F0E-4B39-A9B5-BDA82DFCADF4}" name="tbl_moviment" displayName="tbl_moviment" ref="B6:G20" totalsRowShown="0" headerRowDxfId="1">
  <autoFilter ref="B6:G20" xr:uid="{980426FE-8F0E-4B39-A9B5-BDA82DFCADF4}"/>
  <tableColumns count="6">
    <tableColumn id="1" xr3:uid="{2AFB89A6-B8BB-477F-A643-E7632EE96A73}" name="DATA"/>
    <tableColumn id="2" xr3:uid="{505A7C8A-2B0E-4FEE-95B2-083CF040B237}" name="CLIENTE"/>
    <tableColumn id="3" xr3:uid="{CD3A348F-1878-48BA-B76D-60C8BA22B86E}" name="PROJETO"/>
    <tableColumn id="4" xr3:uid="{31760607-9FD7-46C2-ABF8-862F547986CC}" name="ATIVIDADE"/>
    <tableColumn id="6" xr3:uid="{05CCF85E-EC85-406A-AC94-2951CDE905F7}" name="Responsável"/>
    <tableColumn id="5" xr3:uid="{A6F43089-312A-4626-898B-132C58650FF8}" name="TEMPO GASTO EM HORAS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F5AE5-D37B-44BD-BCAF-79874DF644D1}">
  <sheetPr codeName="Planilha1"/>
  <dimension ref="A1:M21"/>
  <sheetViews>
    <sheetView tabSelected="1" workbookViewId="0">
      <selection activeCell="B2" sqref="B2"/>
    </sheetView>
  </sheetViews>
  <sheetFormatPr defaultRowHeight="15" x14ac:dyDescent="0.25"/>
  <cols>
    <col min="1" max="1" width="43" style="1" customWidth="1"/>
    <col min="2" max="2" width="33.140625" style="1" customWidth="1"/>
    <col min="3" max="3" width="20.5703125" style="1" customWidth="1"/>
    <col min="4" max="4" width="17.42578125" style="1" bestFit="1" customWidth="1"/>
    <col min="5" max="5" width="18" style="1" customWidth="1"/>
    <col min="6" max="6" width="28.7109375" style="1" customWidth="1"/>
    <col min="7" max="7" width="17.5703125" style="1" customWidth="1"/>
    <col min="8" max="8" width="21.5703125" style="1" customWidth="1"/>
    <col min="9" max="9" width="53.7109375" style="1" customWidth="1"/>
    <col min="10" max="11" width="11.42578125" style="1" customWidth="1"/>
    <col min="12" max="16384" width="9.140625" style="1"/>
  </cols>
  <sheetData>
    <row r="1" spans="1:13" x14ac:dyDescent="0.25">
      <c r="A1" s="2" t="s">
        <v>0</v>
      </c>
      <c r="B1" s="2" t="s">
        <v>1</v>
      </c>
      <c r="C1" s="2" t="s">
        <v>2</v>
      </c>
      <c r="D1" s="2" t="s">
        <v>42</v>
      </c>
      <c r="E1" s="2" t="s">
        <v>4</v>
      </c>
      <c r="F1" s="2" t="s">
        <v>5</v>
      </c>
      <c r="G1" s="2" t="s">
        <v>41</v>
      </c>
      <c r="H1" s="2" t="s">
        <v>3</v>
      </c>
      <c r="I1" s="2" t="s">
        <v>6</v>
      </c>
      <c r="J1" s="3"/>
      <c r="K1" s="3"/>
      <c r="L1" s="3"/>
      <c r="M1" s="3"/>
    </row>
    <row r="2" spans="1:13" x14ac:dyDescent="0.25">
      <c r="A2" t="s">
        <v>47</v>
      </c>
      <c r="B2" s="2"/>
      <c r="C2" s="67" t="s">
        <v>25</v>
      </c>
      <c r="D2" s="2"/>
      <c r="E2" s="2"/>
      <c r="F2" s="2"/>
      <c r="G2" s="2">
        <v>120</v>
      </c>
      <c r="H2" s="2" t="s">
        <v>17</v>
      </c>
      <c r="I2" s="2"/>
      <c r="J2" s="3"/>
      <c r="K2" s="3"/>
      <c r="L2" s="3"/>
      <c r="M2" s="3"/>
    </row>
    <row r="3" spans="1:13" x14ac:dyDescent="0.25">
      <c r="A3" s="2"/>
      <c r="B3" s="2"/>
      <c r="C3" s="67"/>
      <c r="D3" s="2"/>
      <c r="E3" s="2"/>
      <c r="F3" s="2"/>
      <c r="G3" s="2"/>
      <c r="H3" s="2"/>
      <c r="I3" s="2"/>
      <c r="J3" s="3"/>
      <c r="K3" s="3"/>
      <c r="L3" s="3"/>
      <c r="M3" s="3"/>
    </row>
    <row r="4" spans="1:13" x14ac:dyDescent="0.25">
      <c r="A4" s="2"/>
      <c r="B4" s="2"/>
      <c r="C4" s="67"/>
      <c r="D4" s="2"/>
      <c r="E4" s="2"/>
      <c r="F4" s="2"/>
      <c r="G4" s="2"/>
      <c r="H4" s="2"/>
      <c r="I4" s="2"/>
      <c r="J4" s="3"/>
      <c r="K4" s="3"/>
      <c r="L4" s="3"/>
      <c r="M4" s="3"/>
    </row>
    <row r="5" spans="1:13" x14ac:dyDescent="0.25">
      <c r="A5" s="2"/>
      <c r="B5" s="2"/>
      <c r="C5" s="67"/>
      <c r="D5" s="2"/>
      <c r="E5" s="2"/>
      <c r="F5" s="2"/>
      <c r="G5" s="2"/>
      <c r="H5" s="2"/>
      <c r="I5" s="2"/>
      <c r="J5" s="3"/>
      <c r="K5" s="3"/>
      <c r="L5" s="3"/>
      <c r="M5" s="3"/>
    </row>
    <row r="6" spans="1:13" x14ac:dyDescent="0.25">
      <c r="A6" s="2"/>
      <c r="B6" s="2"/>
      <c r="C6" s="67"/>
      <c r="D6" s="2"/>
      <c r="E6" s="2"/>
      <c r="F6" s="2"/>
      <c r="G6" s="2"/>
      <c r="H6" s="2"/>
      <c r="I6" s="2"/>
      <c r="J6" s="3"/>
      <c r="K6" s="3"/>
      <c r="L6" s="3"/>
      <c r="M6" s="3"/>
    </row>
    <row r="7" spans="1:13" x14ac:dyDescent="0.25">
      <c r="A7" s="2"/>
      <c r="B7" s="2"/>
      <c r="C7" s="67"/>
      <c r="D7" s="2"/>
      <c r="E7" s="2"/>
      <c r="F7" s="2"/>
      <c r="G7" s="2"/>
      <c r="H7" s="2"/>
      <c r="I7" s="2"/>
      <c r="J7" s="3"/>
      <c r="K7" s="3"/>
      <c r="L7" s="3"/>
      <c r="M7" s="3"/>
    </row>
    <row r="8" spans="1:13" x14ac:dyDescent="0.25">
      <c r="A8" s="2"/>
      <c r="B8" s="2"/>
      <c r="C8" s="67"/>
      <c r="D8" s="2"/>
      <c r="E8" s="2"/>
      <c r="F8" s="2"/>
      <c r="G8" s="2"/>
      <c r="H8" s="2"/>
      <c r="I8" s="2"/>
      <c r="J8" s="3"/>
      <c r="K8" s="3"/>
      <c r="L8" s="3"/>
      <c r="M8" s="3"/>
    </row>
    <row r="9" spans="1:13" x14ac:dyDescent="0.25">
      <c r="A9" s="2"/>
      <c r="B9" s="2"/>
      <c r="C9" s="67"/>
      <c r="D9" s="2"/>
      <c r="E9" s="2"/>
      <c r="F9" s="2"/>
      <c r="G9" s="2"/>
      <c r="H9" s="2"/>
      <c r="I9" s="2"/>
      <c r="J9" s="3"/>
      <c r="K9" s="3"/>
      <c r="L9" s="3"/>
      <c r="M9" s="3"/>
    </row>
    <row r="10" spans="1:13" x14ac:dyDescent="0.25">
      <c r="A10" s="2"/>
      <c r="B10" s="2"/>
      <c r="C10" s="67"/>
      <c r="D10" s="2"/>
      <c r="E10" s="2"/>
      <c r="F10" s="2"/>
      <c r="G10" s="2"/>
      <c r="H10" s="2"/>
      <c r="I10" s="2"/>
      <c r="J10" s="3"/>
      <c r="K10" s="3"/>
      <c r="L10" s="3"/>
      <c r="M10" s="3"/>
    </row>
    <row r="11" spans="1:13" x14ac:dyDescent="0.25">
      <c r="A11" s="2"/>
      <c r="B11" s="2"/>
      <c r="C11" s="67"/>
      <c r="D11" s="2"/>
      <c r="E11" s="2"/>
      <c r="F11" s="2"/>
      <c r="G11" s="2"/>
      <c r="H11" s="2"/>
      <c r="I11" s="2"/>
      <c r="J11" s="3"/>
      <c r="K11" s="3"/>
      <c r="L11" s="3"/>
      <c r="M11" s="3"/>
    </row>
    <row r="12" spans="1:13" x14ac:dyDescent="0.25">
      <c r="A12" s="2"/>
      <c r="B12" s="2"/>
      <c r="C12" s="67"/>
      <c r="D12" s="2"/>
      <c r="E12" s="2"/>
      <c r="F12" s="2"/>
      <c r="G12" s="2"/>
      <c r="H12" s="2"/>
      <c r="I12" s="2"/>
      <c r="J12" s="3"/>
      <c r="K12" s="3"/>
      <c r="L12" s="3"/>
      <c r="M12" s="3"/>
    </row>
    <row r="13" spans="1:13" x14ac:dyDescent="0.25">
      <c r="A13" s="2"/>
      <c r="B13" s="2"/>
      <c r="C13" s="67"/>
      <c r="D13" s="2"/>
      <c r="E13" s="2"/>
      <c r="F13" s="2"/>
      <c r="G13" s="2"/>
      <c r="H13" s="2"/>
      <c r="I13" s="2"/>
      <c r="J13" s="3"/>
      <c r="K13" s="3"/>
      <c r="L13" s="3"/>
      <c r="M13" s="3"/>
    </row>
    <row r="14" spans="1:13" x14ac:dyDescent="0.25">
      <c r="A14" s="2"/>
      <c r="B14" s="2"/>
      <c r="C14" s="67"/>
      <c r="D14" s="2"/>
      <c r="E14" s="2"/>
      <c r="F14" s="2"/>
      <c r="G14" s="2"/>
      <c r="H14" s="2"/>
      <c r="I14" s="2"/>
    </row>
    <row r="15" spans="1:13" x14ac:dyDescent="0.25">
      <c r="A15" s="2"/>
      <c r="B15" s="2"/>
      <c r="C15" s="67"/>
      <c r="D15" s="2"/>
      <c r="E15" s="2"/>
      <c r="F15" s="2"/>
      <c r="G15" s="2"/>
      <c r="H15" s="2"/>
      <c r="I15" s="2"/>
    </row>
    <row r="16" spans="1:13" x14ac:dyDescent="0.25">
      <c r="A16" s="2"/>
      <c r="B16" s="2"/>
      <c r="C16" s="67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67"/>
      <c r="D17" s="2"/>
      <c r="E17" s="2"/>
      <c r="F17" s="2"/>
      <c r="G17" s="2"/>
      <c r="H17" s="2"/>
      <c r="I17" s="2"/>
    </row>
    <row r="18" spans="1:9" x14ac:dyDescent="0.25">
      <c r="A18" s="2"/>
      <c r="B18" s="2"/>
      <c r="C18" s="67"/>
      <c r="D18" s="2"/>
      <c r="E18" s="2"/>
      <c r="F18" s="2"/>
      <c r="G18" s="2"/>
      <c r="H18" s="2"/>
      <c r="I18" s="2"/>
    </row>
    <row r="19" spans="1:9" x14ac:dyDescent="0.25">
      <c r="A19" s="2"/>
      <c r="B19" s="2"/>
      <c r="C19" s="67"/>
      <c r="D19" s="2"/>
      <c r="E19" s="2"/>
      <c r="F19" s="2"/>
      <c r="G19" s="2"/>
      <c r="H19" s="2"/>
      <c r="I19" s="2"/>
    </row>
    <row r="20" spans="1:9" x14ac:dyDescent="0.25">
      <c r="A20" s="2"/>
      <c r="B20" s="2"/>
      <c r="C20" s="67"/>
      <c r="D20" s="2"/>
      <c r="E20" s="2"/>
      <c r="F20" s="2"/>
      <c r="G20" s="2"/>
      <c r="H20" s="2"/>
      <c r="I20" s="2"/>
    </row>
    <row r="21" spans="1:9" x14ac:dyDescent="0.25">
      <c r="A21" s="2"/>
      <c r="B21" s="2"/>
      <c r="C21" s="67"/>
      <c r="D21" s="2"/>
      <c r="E21" s="2"/>
      <c r="F21" s="2"/>
      <c r="G21" s="2"/>
      <c r="H21" s="2"/>
      <c r="I21" s="2"/>
    </row>
  </sheetData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D716C3-67BF-4096-B320-94DD1F0AC383}">
          <x14:formula1>
            <xm:f>'#'!$B$3:$B$22</xm:f>
          </x14:formula1>
          <xm:sqref>C2:C21</xm:sqref>
        </x14:dataValidation>
        <x14:dataValidation type="list" allowBlank="1" showInputMessage="1" showErrorMessage="1" xr:uid="{0763B022-F5DA-4132-8C77-18FE7546C0E4}">
          <x14:formula1>
            <xm:f>'#'!$C$3:$C$22</xm:f>
          </x14:formula1>
          <xm:sqref>B2:B21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EB675-729B-4E63-85B6-D82403ED4973}">
  <sheetPr codeName="Planilha2"/>
  <dimension ref="A1:BX37"/>
  <sheetViews>
    <sheetView showGridLines="0" topLeftCell="D1" workbookViewId="0">
      <selection activeCell="J17" sqref="J17"/>
    </sheetView>
  </sheetViews>
  <sheetFormatPr defaultRowHeight="15" x14ac:dyDescent="0.25"/>
  <cols>
    <col min="1" max="1" width="3" customWidth="1"/>
    <col min="2" max="2" width="7.5703125" bestFit="1" customWidth="1"/>
    <col min="3" max="3" width="39.42578125" bestFit="1" customWidth="1"/>
    <col min="4" max="4" width="19.140625" customWidth="1"/>
    <col min="5" max="5" width="24.85546875" bestFit="1" customWidth="1"/>
    <col min="6" max="6" width="11.42578125" customWidth="1"/>
    <col min="7" max="7" width="12.85546875" customWidth="1"/>
    <col min="8" max="8" width="13.28515625" customWidth="1"/>
    <col min="9" max="9" width="12.42578125" style="2" customWidth="1"/>
    <col min="10" max="10" width="11.5703125" style="2" customWidth="1"/>
    <col min="11" max="11" width="2.140625" customWidth="1"/>
    <col min="12" max="76" width="3.7109375" bestFit="1" customWidth="1"/>
  </cols>
  <sheetData>
    <row r="1" spans="1:76" ht="6.75" customHeight="1" x14ac:dyDescent="0.25"/>
    <row r="2" spans="1:76" x14ac:dyDescent="0.25">
      <c r="L2" s="73">
        <f>M4</f>
        <v>45971</v>
      </c>
      <c r="M2" s="74"/>
      <c r="N2" s="74"/>
      <c r="O2" s="74"/>
      <c r="P2" s="74"/>
      <c r="Q2" s="74"/>
      <c r="R2" s="74"/>
      <c r="S2" s="74"/>
      <c r="T2" s="75"/>
      <c r="U2" s="76">
        <f>V4</f>
        <v>46034</v>
      </c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8"/>
      <c r="BU2" s="79">
        <f>BV4</f>
        <v>46398</v>
      </c>
      <c r="BV2" s="80"/>
      <c r="BW2" s="80"/>
      <c r="BX2" s="81"/>
    </row>
    <row r="3" spans="1:76" x14ac:dyDescent="0.25">
      <c r="E3" s="7" t="s">
        <v>4</v>
      </c>
      <c r="F3" s="8">
        <v>45964</v>
      </c>
      <c r="L3" s="82">
        <f>M4</f>
        <v>45971</v>
      </c>
      <c r="M3" s="83"/>
      <c r="N3" s="83"/>
      <c r="O3" s="83"/>
      <c r="P3" s="83">
        <f>Q4</f>
        <v>45999</v>
      </c>
      <c r="Q3" s="83"/>
      <c r="R3" s="83"/>
      <c r="S3" s="83"/>
      <c r="T3" s="84"/>
      <c r="U3" s="85">
        <f>U4</f>
        <v>46027</v>
      </c>
      <c r="V3" s="68"/>
      <c r="W3" s="68"/>
      <c r="X3" s="68"/>
      <c r="Y3" s="68">
        <f>Y4</f>
        <v>46055</v>
      </c>
      <c r="Z3" s="68"/>
      <c r="AA3" s="68"/>
      <c r="AB3" s="68"/>
      <c r="AC3" s="68">
        <f>AD4</f>
        <v>46090</v>
      </c>
      <c r="AD3" s="68"/>
      <c r="AE3" s="68"/>
      <c r="AF3" s="68"/>
      <c r="AG3" s="68"/>
      <c r="AH3" s="68">
        <f>AI4</f>
        <v>46125</v>
      </c>
      <c r="AI3" s="68"/>
      <c r="AJ3" s="68"/>
      <c r="AK3" s="68"/>
      <c r="AL3" s="68">
        <f>AM4</f>
        <v>46153</v>
      </c>
      <c r="AM3" s="68"/>
      <c r="AN3" s="68"/>
      <c r="AO3" s="68"/>
      <c r="AP3" s="68">
        <f>AQ4</f>
        <v>46181</v>
      </c>
      <c r="AQ3" s="68"/>
      <c r="AR3" s="68"/>
      <c r="AS3" s="68"/>
      <c r="AT3" s="68"/>
      <c r="AU3" s="68">
        <f>AV4</f>
        <v>46216</v>
      </c>
      <c r="AV3" s="68"/>
      <c r="AW3" s="68"/>
      <c r="AX3" s="68"/>
      <c r="AY3" s="68">
        <f>AZ4</f>
        <v>46244</v>
      </c>
      <c r="AZ3" s="68"/>
      <c r="BA3" s="68"/>
      <c r="BB3" s="68"/>
      <c r="BC3" s="68"/>
      <c r="BD3" s="68">
        <f>BE4</f>
        <v>46279</v>
      </c>
      <c r="BE3" s="68"/>
      <c r="BF3" s="68"/>
      <c r="BG3" s="68"/>
      <c r="BH3" s="68">
        <f>BI4</f>
        <v>46307</v>
      </c>
      <c r="BI3" s="68"/>
      <c r="BJ3" s="68"/>
      <c r="BK3" s="68"/>
      <c r="BL3" s="68">
        <f>BM4</f>
        <v>46335</v>
      </c>
      <c r="BM3" s="68"/>
      <c r="BN3" s="68"/>
      <c r="BO3" s="68"/>
      <c r="BP3" s="68"/>
      <c r="BQ3" s="68">
        <f>BR4</f>
        <v>46370</v>
      </c>
      <c r="BR3" s="68"/>
      <c r="BS3" s="68"/>
      <c r="BT3" s="69"/>
      <c r="BU3" s="70">
        <f>BV4</f>
        <v>46398</v>
      </c>
      <c r="BV3" s="71"/>
      <c r="BW3" s="71"/>
      <c r="BX3" s="72"/>
    </row>
    <row r="4" spans="1:76" ht="38.25" x14ac:dyDescent="0.25">
      <c r="L4" s="9">
        <f>F3</f>
        <v>45964</v>
      </c>
      <c r="M4" s="10">
        <f>L4+7</f>
        <v>45971</v>
      </c>
      <c r="N4" s="10">
        <f t="shared" ref="N4:BX4" si="0">M4+7</f>
        <v>45978</v>
      </c>
      <c r="O4" s="10">
        <f t="shared" si="0"/>
        <v>45985</v>
      </c>
      <c r="P4" s="10">
        <f t="shared" si="0"/>
        <v>45992</v>
      </c>
      <c r="Q4" s="10">
        <f t="shared" si="0"/>
        <v>45999</v>
      </c>
      <c r="R4" s="10">
        <f t="shared" si="0"/>
        <v>46006</v>
      </c>
      <c r="S4" s="10">
        <f t="shared" si="0"/>
        <v>46013</v>
      </c>
      <c r="T4" s="11">
        <f t="shared" si="0"/>
        <v>46020</v>
      </c>
      <c r="U4" s="12">
        <f t="shared" si="0"/>
        <v>46027</v>
      </c>
      <c r="V4" s="13">
        <f t="shared" si="0"/>
        <v>46034</v>
      </c>
      <c r="W4" s="13">
        <f t="shared" si="0"/>
        <v>46041</v>
      </c>
      <c r="X4" s="13">
        <f t="shared" si="0"/>
        <v>46048</v>
      </c>
      <c r="Y4" s="13">
        <f t="shared" si="0"/>
        <v>46055</v>
      </c>
      <c r="Z4" s="13">
        <f t="shared" si="0"/>
        <v>46062</v>
      </c>
      <c r="AA4" s="13">
        <f t="shared" si="0"/>
        <v>46069</v>
      </c>
      <c r="AB4" s="13">
        <f t="shared" si="0"/>
        <v>46076</v>
      </c>
      <c r="AC4" s="13">
        <f t="shared" si="0"/>
        <v>46083</v>
      </c>
      <c r="AD4" s="13">
        <f t="shared" si="0"/>
        <v>46090</v>
      </c>
      <c r="AE4" s="13">
        <f t="shared" si="0"/>
        <v>46097</v>
      </c>
      <c r="AF4" s="13">
        <f t="shared" si="0"/>
        <v>46104</v>
      </c>
      <c r="AG4" s="13">
        <f t="shared" si="0"/>
        <v>46111</v>
      </c>
      <c r="AH4" s="13">
        <f t="shared" si="0"/>
        <v>46118</v>
      </c>
      <c r="AI4" s="13">
        <f t="shared" si="0"/>
        <v>46125</v>
      </c>
      <c r="AJ4" s="13">
        <f t="shared" si="0"/>
        <v>46132</v>
      </c>
      <c r="AK4" s="13">
        <f t="shared" si="0"/>
        <v>46139</v>
      </c>
      <c r="AL4" s="13">
        <f t="shared" si="0"/>
        <v>46146</v>
      </c>
      <c r="AM4" s="13">
        <f t="shared" si="0"/>
        <v>46153</v>
      </c>
      <c r="AN4" s="13">
        <f t="shared" si="0"/>
        <v>46160</v>
      </c>
      <c r="AO4" s="13">
        <f t="shared" si="0"/>
        <v>46167</v>
      </c>
      <c r="AP4" s="13">
        <f t="shared" si="0"/>
        <v>46174</v>
      </c>
      <c r="AQ4" s="13">
        <f t="shared" si="0"/>
        <v>46181</v>
      </c>
      <c r="AR4" s="13">
        <f t="shared" si="0"/>
        <v>46188</v>
      </c>
      <c r="AS4" s="13">
        <f t="shared" si="0"/>
        <v>46195</v>
      </c>
      <c r="AT4" s="13">
        <f t="shared" si="0"/>
        <v>46202</v>
      </c>
      <c r="AU4" s="13">
        <f t="shared" si="0"/>
        <v>46209</v>
      </c>
      <c r="AV4" s="13">
        <f t="shared" si="0"/>
        <v>46216</v>
      </c>
      <c r="AW4" s="13">
        <f t="shared" si="0"/>
        <v>46223</v>
      </c>
      <c r="AX4" s="13">
        <f t="shared" si="0"/>
        <v>46230</v>
      </c>
      <c r="AY4" s="13">
        <f t="shared" si="0"/>
        <v>46237</v>
      </c>
      <c r="AZ4" s="13">
        <f t="shared" si="0"/>
        <v>46244</v>
      </c>
      <c r="BA4" s="13">
        <f t="shared" si="0"/>
        <v>46251</v>
      </c>
      <c r="BB4" s="13">
        <f t="shared" si="0"/>
        <v>46258</v>
      </c>
      <c r="BC4" s="13">
        <f t="shared" si="0"/>
        <v>46265</v>
      </c>
      <c r="BD4" s="13">
        <f t="shared" si="0"/>
        <v>46272</v>
      </c>
      <c r="BE4" s="13">
        <f t="shared" si="0"/>
        <v>46279</v>
      </c>
      <c r="BF4" s="13">
        <f t="shared" si="0"/>
        <v>46286</v>
      </c>
      <c r="BG4" s="13">
        <f t="shared" si="0"/>
        <v>46293</v>
      </c>
      <c r="BH4" s="13">
        <f t="shared" si="0"/>
        <v>46300</v>
      </c>
      <c r="BI4" s="13">
        <f t="shared" si="0"/>
        <v>46307</v>
      </c>
      <c r="BJ4" s="13">
        <f t="shared" si="0"/>
        <v>46314</v>
      </c>
      <c r="BK4" s="13">
        <f t="shared" si="0"/>
        <v>46321</v>
      </c>
      <c r="BL4" s="13">
        <f t="shared" si="0"/>
        <v>46328</v>
      </c>
      <c r="BM4" s="13">
        <f t="shared" si="0"/>
        <v>46335</v>
      </c>
      <c r="BN4" s="13">
        <f t="shared" si="0"/>
        <v>46342</v>
      </c>
      <c r="BO4" s="13">
        <f t="shared" si="0"/>
        <v>46349</v>
      </c>
      <c r="BP4" s="13">
        <f t="shared" si="0"/>
        <v>46356</v>
      </c>
      <c r="BQ4" s="13">
        <f t="shared" si="0"/>
        <v>46363</v>
      </c>
      <c r="BR4" s="13">
        <f t="shared" si="0"/>
        <v>46370</v>
      </c>
      <c r="BS4" s="13">
        <f t="shared" si="0"/>
        <v>46377</v>
      </c>
      <c r="BT4" s="14">
        <f t="shared" si="0"/>
        <v>46384</v>
      </c>
      <c r="BU4" s="15">
        <f t="shared" si="0"/>
        <v>46391</v>
      </c>
      <c r="BV4" s="16">
        <f t="shared" si="0"/>
        <v>46398</v>
      </c>
      <c r="BW4" s="16">
        <f t="shared" si="0"/>
        <v>46405</v>
      </c>
      <c r="BX4" s="17">
        <f t="shared" si="0"/>
        <v>46412</v>
      </c>
    </row>
    <row r="5" spans="1:76" x14ac:dyDescent="0.25">
      <c r="B5" s="58" t="s">
        <v>12</v>
      </c>
      <c r="C5" s="58" t="s">
        <v>0</v>
      </c>
      <c r="D5" s="58" t="s">
        <v>2</v>
      </c>
      <c r="E5" s="58" t="s">
        <v>7</v>
      </c>
      <c r="F5" s="58" t="s">
        <v>8</v>
      </c>
      <c r="G5" s="58" t="s">
        <v>9</v>
      </c>
      <c r="H5" s="61" t="s">
        <v>44</v>
      </c>
      <c r="I5" s="61" t="s">
        <v>10</v>
      </c>
      <c r="J5" s="61" t="s">
        <v>11</v>
      </c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9"/>
    </row>
    <row r="6" spans="1:76" ht="20.100000000000001" customHeight="1" x14ac:dyDescent="0.25">
      <c r="A6" s="20"/>
      <c r="B6" s="21">
        <v>1</v>
      </c>
      <c r="C6" s="21"/>
      <c r="D6" s="21"/>
      <c r="E6" s="21"/>
      <c r="F6" s="22">
        <v>45965</v>
      </c>
      <c r="G6" s="22">
        <v>45992</v>
      </c>
      <c r="H6" s="21"/>
      <c r="I6" s="21" t="s">
        <v>14</v>
      </c>
      <c r="J6" s="23">
        <v>0</v>
      </c>
      <c r="K6" s="24"/>
      <c r="L6" s="30" t="str">
        <f>IF(L$4=($G6-WEEKDAY($G6,2)+1),"u","")</f>
        <v/>
      </c>
      <c r="M6" s="31" t="str">
        <f t="shared" ref="M6:BX9" si="1">IF(M$4=($G6-WEEKDAY($G6,2)+1),"u","")</f>
        <v/>
      </c>
      <c r="N6" s="31" t="str">
        <f t="shared" si="1"/>
        <v/>
      </c>
      <c r="O6" s="31" t="str">
        <f t="shared" si="1"/>
        <v/>
      </c>
      <c r="P6" s="31" t="str">
        <f t="shared" si="1"/>
        <v>u</v>
      </c>
      <c r="Q6" s="31" t="str">
        <f t="shared" si="1"/>
        <v/>
      </c>
      <c r="R6" s="31" t="str">
        <f t="shared" si="1"/>
        <v/>
      </c>
      <c r="S6" s="31" t="str">
        <f t="shared" si="1"/>
        <v/>
      </c>
      <c r="T6" s="31" t="str">
        <f t="shared" si="1"/>
        <v/>
      </c>
      <c r="U6" s="31" t="str">
        <f t="shared" si="1"/>
        <v/>
      </c>
      <c r="V6" s="31" t="str">
        <f t="shared" si="1"/>
        <v/>
      </c>
      <c r="W6" s="31" t="str">
        <f t="shared" si="1"/>
        <v/>
      </c>
      <c r="X6" s="31" t="str">
        <f t="shared" si="1"/>
        <v/>
      </c>
      <c r="Y6" s="31" t="str">
        <f t="shared" si="1"/>
        <v/>
      </c>
      <c r="Z6" s="31" t="str">
        <f t="shared" si="1"/>
        <v/>
      </c>
      <c r="AA6" s="31" t="str">
        <f t="shared" si="1"/>
        <v/>
      </c>
      <c r="AB6" s="31" t="str">
        <f t="shared" si="1"/>
        <v/>
      </c>
      <c r="AC6" s="31" t="str">
        <f t="shared" si="1"/>
        <v/>
      </c>
      <c r="AD6" s="31" t="str">
        <f t="shared" si="1"/>
        <v/>
      </c>
      <c r="AE6" s="31" t="str">
        <f t="shared" si="1"/>
        <v/>
      </c>
      <c r="AF6" s="31" t="str">
        <f t="shared" si="1"/>
        <v/>
      </c>
      <c r="AG6" s="31" t="str">
        <f t="shared" si="1"/>
        <v/>
      </c>
      <c r="AH6" s="31" t="str">
        <f t="shared" si="1"/>
        <v/>
      </c>
      <c r="AI6" s="31" t="str">
        <f t="shared" si="1"/>
        <v/>
      </c>
      <c r="AJ6" s="31" t="str">
        <f t="shared" si="1"/>
        <v/>
      </c>
      <c r="AK6" s="31" t="str">
        <f t="shared" si="1"/>
        <v/>
      </c>
      <c r="AL6" s="31" t="str">
        <f t="shared" si="1"/>
        <v/>
      </c>
      <c r="AM6" s="31" t="str">
        <f t="shared" si="1"/>
        <v/>
      </c>
      <c r="AN6" s="31" t="str">
        <f t="shared" si="1"/>
        <v/>
      </c>
      <c r="AO6" s="31" t="str">
        <f t="shared" si="1"/>
        <v/>
      </c>
      <c r="AP6" s="31" t="str">
        <f t="shared" si="1"/>
        <v/>
      </c>
      <c r="AQ6" s="31" t="str">
        <f t="shared" si="1"/>
        <v/>
      </c>
      <c r="AR6" s="31" t="str">
        <f t="shared" si="1"/>
        <v/>
      </c>
      <c r="AS6" s="31" t="str">
        <f t="shared" si="1"/>
        <v/>
      </c>
      <c r="AT6" s="31" t="str">
        <f t="shared" si="1"/>
        <v/>
      </c>
      <c r="AU6" s="31" t="str">
        <f t="shared" si="1"/>
        <v/>
      </c>
      <c r="AV6" s="31" t="str">
        <f t="shared" si="1"/>
        <v/>
      </c>
      <c r="AW6" s="31" t="str">
        <f t="shared" si="1"/>
        <v/>
      </c>
      <c r="AX6" s="31" t="str">
        <f t="shared" si="1"/>
        <v/>
      </c>
      <c r="AY6" s="31" t="str">
        <f t="shared" si="1"/>
        <v/>
      </c>
      <c r="AZ6" s="31" t="str">
        <f t="shared" si="1"/>
        <v/>
      </c>
      <c r="BA6" s="31" t="str">
        <f t="shared" si="1"/>
        <v/>
      </c>
      <c r="BB6" s="31" t="str">
        <f t="shared" si="1"/>
        <v/>
      </c>
      <c r="BC6" s="31" t="str">
        <f t="shared" si="1"/>
        <v/>
      </c>
      <c r="BD6" s="31" t="str">
        <f t="shared" si="1"/>
        <v/>
      </c>
      <c r="BE6" s="31" t="str">
        <f t="shared" si="1"/>
        <v/>
      </c>
      <c r="BF6" s="31" t="str">
        <f t="shared" si="1"/>
        <v/>
      </c>
      <c r="BG6" s="31" t="str">
        <f t="shared" si="1"/>
        <v/>
      </c>
      <c r="BH6" s="31" t="str">
        <f t="shared" si="1"/>
        <v/>
      </c>
      <c r="BI6" s="31" t="str">
        <f t="shared" si="1"/>
        <v/>
      </c>
      <c r="BJ6" s="31" t="str">
        <f t="shared" si="1"/>
        <v/>
      </c>
      <c r="BK6" s="31" t="str">
        <f t="shared" si="1"/>
        <v/>
      </c>
      <c r="BL6" s="31" t="str">
        <f t="shared" si="1"/>
        <v/>
      </c>
      <c r="BM6" s="31" t="str">
        <f t="shared" si="1"/>
        <v/>
      </c>
      <c r="BN6" s="31" t="str">
        <f t="shared" si="1"/>
        <v/>
      </c>
      <c r="BO6" s="31" t="str">
        <f t="shared" si="1"/>
        <v/>
      </c>
      <c r="BP6" s="31" t="str">
        <f t="shared" si="1"/>
        <v/>
      </c>
      <c r="BQ6" s="31" t="str">
        <f t="shared" si="1"/>
        <v/>
      </c>
      <c r="BR6" s="31" t="str">
        <f t="shared" si="1"/>
        <v/>
      </c>
      <c r="BS6" s="31" t="str">
        <f t="shared" si="1"/>
        <v/>
      </c>
      <c r="BT6" s="31" t="str">
        <f t="shared" si="1"/>
        <v/>
      </c>
      <c r="BU6" s="31" t="str">
        <f t="shared" si="1"/>
        <v/>
      </c>
      <c r="BV6" s="31" t="str">
        <f t="shared" si="1"/>
        <v/>
      </c>
      <c r="BW6" s="31" t="str">
        <f t="shared" si="1"/>
        <v/>
      </c>
      <c r="BX6" s="32" t="str">
        <f t="shared" si="1"/>
        <v/>
      </c>
    </row>
    <row r="7" spans="1:76" ht="20.100000000000001" customHeight="1" x14ac:dyDescent="0.25">
      <c r="A7" s="20"/>
      <c r="B7" s="25">
        <v>2</v>
      </c>
      <c r="C7" s="25"/>
      <c r="D7" s="25"/>
      <c r="E7" s="25"/>
      <c r="F7" s="26">
        <v>45966</v>
      </c>
      <c r="G7" s="26">
        <v>45993</v>
      </c>
      <c r="H7" s="25"/>
      <c r="I7" s="25" t="s">
        <v>14</v>
      </c>
      <c r="J7" s="27">
        <v>0</v>
      </c>
      <c r="K7" s="28"/>
      <c r="L7" s="33" t="str">
        <f t="shared" ref="L7:AA24" si="2">IF(L$4=($G7-WEEKDAY($G7,2)+1),"u","")</f>
        <v/>
      </c>
      <c r="M7" s="34" t="str">
        <f t="shared" si="1"/>
        <v/>
      </c>
      <c r="N7" s="34" t="str">
        <f t="shared" si="1"/>
        <v/>
      </c>
      <c r="O7" s="34" t="str">
        <f t="shared" si="1"/>
        <v/>
      </c>
      <c r="P7" s="34" t="str">
        <f t="shared" si="1"/>
        <v>u</v>
      </c>
      <c r="Q7" s="34" t="str">
        <f t="shared" si="1"/>
        <v/>
      </c>
      <c r="R7" s="34" t="str">
        <f t="shared" si="1"/>
        <v/>
      </c>
      <c r="S7" s="34" t="str">
        <f t="shared" si="1"/>
        <v/>
      </c>
      <c r="T7" s="34" t="str">
        <f t="shared" si="1"/>
        <v/>
      </c>
      <c r="U7" s="34" t="str">
        <f t="shared" si="1"/>
        <v/>
      </c>
      <c r="V7" s="34" t="str">
        <f t="shared" si="1"/>
        <v/>
      </c>
      <c r="W7" s="34" t="str">
        <f t="shared" si="1"/>
        <v/>
      </c>
      <c r="X7" s="34" t="str">
        <f t="shared" si="1"/>
        <v/>
      </c>
      <c r="Y7" s="34" t="str">
        <f t="shared" si="1"/>
        <v/>
      </c>
      <c r="Z7" s="34" t="str">
        <f t="shared" si="1"/>
        <v/>
      </c>
      <c r="AA7" s="34" t="str">
        <f t="shared" si="1"/>
        <v/>
      </c>
      <c r="AB7" s="34" t="str">
        <f t="shared" si="1"/>
        <v/>
      </c>
      <c r="AC7" s="34" t="str">
        <f t="shared" si="1"/>
        <v/>
      </c>
      <c r="AD7" s="34" t="str">
        <f t="shared" si="1"/>
        <v/>
      </c>
      <c r="AE7" s="34" t="str">
        <f t="shared" si="1"/>
        <v/>
      </c>
      <c r="AF7" s="34" t="str">
        <f t="shared" si="1"/>
        <v/>
      </c>
      <c r="AG7" s="34" t="str">
        <f t="shared" si="1"/>
        <v/>
      </c>
      <c r="AH7" s="34" t="str">
        <f t="shared" si="1"/>
        <v/>
      </c>
      <c r="AI7" s="34" t="str">
        <f t="shared" si="1"/>
        <v/>
      </c>
      <c r="AJ7" s="34" t="str">
        <f t="shared" si="1"/>
        <v/>
      </c>
      <c r="AK7" s="34" t="str">
        <f t="shared" si="1"/>
        <v/>
      </c>
      <c r="AL7" s="34" t="str">
        <f t="shared" si="1"/>
        <v/>
      </c>
      <c r="AM7" s="34" t="str">
        <f t="shared" si="1"/>
        <v/>
      </c>
      <c r="AN7" s="34" t="str">
        <f t="shared" si="1"/>
        <v/>
      </c>
      <c r="AO7" s="34" t="str">
        <f t="shared" si="1"/>
        <v/>
      </c>
      <c r="AP7" s="34" t="str">
        <f t="shared" si="1"/>
        <v/>
      </c>
      <c r="AQ7" s="34" t="str">
        <f t="shared" si="1"/>
        <v/>
      </c>
      <c r="AR7" s="34" t="str">
        <f t="shared" si="1"/>
        <v/>
      </c>
      <c r="AS7" s="34" t="str">
        <f t="shared" si="1"/>
        <v/>
      </c>
      <c r="AT7" s="34" t="str">
        <f t="shared" si="1"/>
        <v/>
      </c>
      <c r="AU7" s="34" t="str">
        <f t="shared" si="1"/>
        <v/>
      </c>
      <c r="AV7" s="34" t="str">
        <f t="shared" si="1"/>
        <v/>
      </c>
      <c r="AW7" s="34" t="str">
        <f t="shared" si="1"/>
        <v/>
      </c>
      <c r="AX7" s="34" t="str">
        <f t="shared" si="1"/>
        <v/>
      </c>
      <c r="AY7" s="34" t="str">
        <f t="shared" si="1"/>
        <v/>
      </c>
      <c r="AZ7" s="34" t="str">
        <f t="shared" si="1"/>
        <v/>
      </c>
      <c r="BA7" s="34" t="str">
        <f t="shared" si="1"/>
        <v/>
      </c>
      <c r="BB7" s="34" t="str">
        <f t="shared" si="1"/>
        <v/>
      </c>
      <c r="BC7" s="34" t="str">
        <f t="shared" si="1"/>
        <v/>
      </c>
      <c r="BD7" s="34" t="str">
        <f t="shared" si="1"/>
        <v/>
      </c>
      <c r="BE7" s="34" t="str">
        <f t="shared" si="1"/>
        <v/>
      </c>
      <c r="BF7" s="34" t="str">
        <f t="shared" si="1"/>
        <v/>
      </c>
      <c r="BG7" s="34" t="str">
        <f t="shared" si="1"/>
        <v/>
      </c>
      <c r="BH7" s="34" t="str">
        <f t="shared" si="1"/>
        <v/>
      </c>
      <c r="BI7" s="34" t="str">
        <f t="shared" si="1"/>
        <v/>
      </c>
      <c r="BJ7" s="34" t="str">
        <f t="shared" si="1"/>
        <v/>
      </c>
      <c r="BK7" s="34" t="str">
        <f t="shared" si="1"/>
        <v/>
      </c>
      <c r="BL7" s="34" t="str">
        <f t="shared" si="1"/>
        <v/>
      </c>
      <c r="BM7" s="34" t="str">
        <f t="shared" si="1"/>
        <v/>
      </c>
      <c r="BN7" s="34" t="str">
        <f t="shared" si="1"/>
        <v/>
      </c>
      <c r="BO7" s="34" t="str">
        <f t="shared" si="1"/>
        <v/>
      </c>
      <c r="BP7" s="34" t="str">
        <f t="shared" si="1"/>
        <v/>
      </c>
      <c r="BQ7" s="34" t="str">
        <f t="shared" si="1"/>
        <v/>
      </c>
      <c r="BR7" s="34" t="str">
        <f t="shared" si="1"/>
        <v/>
      </c>
      <c r="BS7" s="34" t="str">
        <f t="shared" si="1"/>
        <v/>
      </c>
      <c r="BT7" s="34" t="str">
        <f t="shared" si="1"/>
        <v/>
      </c>
      <c r="BU7" s="34" t="str">
        <f t="shared" si="1"/>
        <v/>
      </c>
      <c r="BV7" s="34" t="str">
        <f t="shared" si="1"/>
        <v/>
      </c>
      <c r="BW7" s="34" t="str">
        <f t="shared" si="1"/>
        <v/>
      </c>
      <c r="BX7" s="35" t="str">
        <f t="shared" si="1"/>
        <v/>
      </c>
    </row>
    <row r="8" spans="1:76" ht="20.100000000000001" customHeight="1" x14ac:dyDescent="0.25">
      <c r="A8" s="20"/>
      <c r="B8" s="25">
        <v>3</v>
      </c>
      <c r="C8" s="25"/>
      <c r="D8" s="25"/>
      <c r="E8" s="25"/>
      <c r="F8" s="26">
        <v>45967</v>
      </c>
      <c r="G8" s="26">
        <v>45994</v>
      </c>
      <c r="H8" s="25"/>
      <c r="I8" s="25" t="s">
        <v>16</v>
      </c>
      <c r="J8" s="27">
        <v>0</v>
      </c>
      <c r="K8" s="28"/>
      <c r="L8" s="33" t="str">
        <f t="shared" si="2"/>
        <v/>
      </c>
      <c r="M8" s="34" t="str">
        <f t="shared" si="1"/>
        <v/>
      </c>
      <c r="N8" s="34" t="str">
        <f t="shared" si="1"/>
        <v/>
      </c>
      <c r="O8" s="34" t="str">
        <f t="shared" si="1"/>
        <v/>
      </c>
      <c r="P8" s="34" t="str">
        <f t="shared" si="1"/>
        <v>u</v>
      </c>
      <c r="Q8" s="34" t="str">
        <f t="shared" si="1"/>
        <v/>
      </c>
      <c r="R8" s="34" t="str">
        <f t="shared" si="1"/>
        <v/>
      </c>
      <c r="S8" s="34" t="str">
        <f t="shared" si="1"/>
        <v/>
      </c>
      <c r="T8" s="34" t="str">
        <f t="shared" si="1"/>
        <v/>
      </c>
      <c r="U8" s="34" t="str">
        <f t="shared" si="1"/>
        <v/>
      </c>
      <c r="V8" s="34" t="str">
        <f t="shared" si="1"/>
        <v/>
      </c>
      <c r="W8" s="34" t="str">
        <f t="shared" si="1"/>
        <v/>
      </c>
      <c r="X8" s="34" t="str">
        <f t="shared" si="1"/>
        <v/>
      </c>
      <c r="Y8" s="34" t="str">
        <f t="shared" si="1"/>
        <v/>
      </c>
      <c r="Z8" s="34" t="str">
        <f t="shared" si="1"/>
        <v/>
      </c>
      <c r="AA8" s="34" t="str">
        <f t="shared" si="1"/>
        <v/>
      </c>
      <c r="AB8" s="34" t="str">
        <f t="shared" si="1"/>
        <v/>
      </c>
      <c r="AC8" s="34" t="str">
        <f t="shared" si="1"/>
        <v/>
      </c>
      <c r="AD8" s="34" t="str">
        <f t="shared" si="1"/>
        <v/>
      </c>
      <c r="AE8" s="34" t="str">
        <f t="shared" si="1"/>
        <v/>
      </c>
      <c r="AF8" s="34" t="str">
        <f t="shared" si="1"/>
        <v/>
      </c>
      <c r="AG8" s="34" t="str">
        <f t="shared" si="1"/>
        <v/>
      </c>
      <c r="AH8" s="34" t="str">
        <f t="shared" si="1"/>
        <v/>
      </c>
      <c r="AI8" s="34" t="str">
        <f t="shared" si="1"/>
        <v/>
      </c>
      <c r="AJ8" s="34" t="str">
        <f t="shared" si="1"/>
        <v/>
      </c>
      <c r="AK8" s="34" t="str">
        <f t="shared" si="1"/>
        <v/>
      </c>
      <c r="AL8" s="34" t="str">
        <f t="shared" si="1"/>
        <v/>
      </c>
      <c r="AM8" s="34" t="str">
        <f t="shared" si="1"/>
        <v/>
      </c>
      <c r="AN8" s="34" t="str">
        <f t="shared" si="1"/>
        <v/>
      </c>
      <c r="AO8" s="34" t="str">
        <f t="shared" si="1"/>
        <v/>
      </c>
      <c r="AP8" s="34" t="str">
        <f t="shared" si="1"/>
        <v/>
      </c>
      <c r="AQ8" s="34" t="str">
        <f t="shared" si="1"/>
        <v/>
      </c>
      <c r="AR8" s="34" t="str">
        <f t="shared" si="1"/>
        <v/>
      </c>
      <c r="AS8" s="34" t="str">
        <f t="shared" si="1"/>
        <v/>
      </c>
      <c r="AT8" s="34" t="str">
        <f t="shared" si="1"/>
        <v/>
      </c>
      <c r="AU8" s="34" t="str">
        <f t="shared" si="1"/>
        <v/>
      </c>
      <c r="AV8" s="34" t="str">
        <f t="shared" si="1"/>
        <v/>
      </c>
      <c r="AW8" s="34" t="str">
        <f t="shared" si="1"/>
        <v/>
      </c>
      <c r="AX8" s="34" t="str">
        <f t="shared" si="1"/>
        <v/>
      </c>
      <c r="AY8" s="34" t="str">
        <f t="shared" si="1"/>
        <v/>
      </c>
      <c r="AZ8" s="34" t="str">
        <f t="shared" si="1"/>
        <v/>
      </c>
      <c r="BA8" s="34" t="str">
        <f t="shared" si="1"/>
        <v/>
      </c>
      <c r="BB8" s="34" t="str">
        <f t="shared" si="1"/>
        <v/>
      </c>
      <c r="BC8" s="34" t="str">
        <f t="shared" si="1"/>
        <v/>
      </c>
      <c r="BD8" s="34" t="str">
        <f t="shared" si="1"/>
        <v/>
      </c>
      <c r="BE8" s="34" t="str">
        <f t="shared" si="1"/>
        <v/>
      </c>
      <c r="BF8" s="34" t="str">
        <f t="shared" si="1"/>
        <v/>
      </c>
      <c r="BG8" s="34" t="str">
        <f t="shared" si="1"/>
        <v/>
      </c>
      <c r="BH8" s="34" t="str">
        <f t="shared" si="1"/>
        <v/>
      </c>
      <c r="BI8" s="34" t="str">
        <f t="shared" si="1"/>
        <v/>
      </c>
      <c r="BJ8" s="34" t="str">
        <f t="shared" si="1"/>
        <v/>
      </c>
      <c r="BK8" s="34" t="str">
        <f t="shared" si="1"/>
        <v/>
      </c>
      <c r="BL8" s="34" t="str">
        <f t="shared" si="1"/>
        <v/>
      </c>
      <c r="BM8" s="34" t="str">
        <f t="shared" si="1"/>
        <v/>
      </c>
      <c r="BN8" s="34" t="str">
        <f t="shared" si="1"/>
        <v/>
      </c>
      <c r="BO8" s="34" t="str">
        <f t="shared" si="1"/>
        <v/>
      </c>
      <c r="BP8" s="34" t="str">
        <f t="shared" si="1"/>
        <v/>
      </c>
      <c r="BQ8" s="34" t="str">
        <f t="shared" si="1"/>
        <v/>
      </c>
      <c r="BR8" s="34" t="str">
        <f t="shared" si="1"/>
        <v/>
      </c>
      <c r="BS8" s="34" t="str">
        <f t="shared" si="1"/>
        <v/>
      </c>
      <c r="BT8" s="34" t="str">
        <f t="shared" si="1"/>
        <v/>
      </c>
      <c r="BU8" s="34" t="str">
        <f t="shared" si="1"/>
        <v/>
      </c>
      <c r="BV8" s="34" t="str">
        <f t="shared" si="1"/>
        <v/>
      </c>
      <c r="BW8" s="34" t="str">
        <f t="shared" si="1"/>
        <v/>
      </c>
      <c r="BX8" s="35" t="str">
        <f t="shared" si="1"/>
        <v/>
      </c>
    </row>
    <row r="9" spans="1:76" ht="20.100000000000001" customHeight="1" x14ac:dyDescent="0.25">
      <c r="A9" s="20"/>
      <c r="B9" s="25">
        <v>4</v>
      </c>
      <c r="C9" s="25"/>
      <c r="D9" s="25"/>
      <c r="E9" s="25"/>
      <c r="F9" s="26">
        <v>45968</v>
      </c>
      <c r="G9" s="26">
        <v>45995</v>
      </c>
      <c r="H9" s="25"/>
      <c r="I9" s="25" t="s">
        <v>14</v>
      </c>
      <c r="J9" s="27">
        <v>0</v>
      </c>
      <c r="K9" s="28"/>
      <c r="L9" s="33" t="str">
        <f t="shared" si="2"/>
        <v/>
      </c>
      <c r="M9" s="34" t="str">
        <f t="shared" si="1"/>
        <v/>
      </c>
      <c r="N9" s="34" t="str">
        <f t="shared" si="1"/>
        <v/>
      </c>
      <c r="O9" s="34" t="str">
        <f t="shared" si="1"/>
        <v/>
      </c>
      <c r="P9" s="34" t="str">
        <f t="shared" si="1"/>
        <v>u</v>
      </c>
      <c r="Q9" s="34" t="str">
        <f t="shared" si="1"/>
        <v/>
      </c>
      <c r="R9" s="34" t="str">
        <f t="shared" si="1"/>
        <v/>
      </c>
      <c r="S9" s="34" t="str">
        <f t="shared" si="1"/>
        <v/>
      </c>
      <c r="T9" s="34" t="str">
        <f t="shared" si="1"/>
        <v/>
      </c>
      <c r="U9" s="34" t="str">
        <f t="shared" si="1"/>
        <v/>
      </c>
      <c r="V9" s="34" t="str">
        <f t="shared" si="1"/>
        <v/>
      </c>
      <c r="W9" s="34" t="str">
        <f t="shared" si="1"/>
        <v/>
      </c>
      <c r="X9" s="34" t="str">
        <f t="shared" si="1"/>
        <v/>
      </c>
      <c r="Y9" s="34" t="str">
        <f t="shared" si="1"/>
        <v/>
      </c>
      <c r="Z9" s="34" t="str">
        <f t="shared" si="1"/>
        <v/>
      </c>
      <c r="AA9" s="34" t="str">
        <f t="shared" si="1"/>
        <v/>
      </c>
      <c r="AB9" s="34" t="str">
        <f t="shared" si="1"/>
        <v/>
      </c>
      <c r="AC9" s="34" t="str">
        <f t="shared" si="1"/>
        <v/>
      </c>
      <c r="AD9" s="34" t="str">
        <f t="shared" si="1"/>
        <v/>
      </c>
      <c r="AE9" s="34" t="str">
        <f t="shared" si="1"/>
        <v/>
      </c>
      <c r="AF9" s="34" t="str">
        <f t="shared" si="1"/>
        <v/>
      </c>
      <c r="AG9" s="34" t="str">
        <f t="shared" si="1"/>
        <v/>
      </c>
      <c r="AH9" s="34" t="str">
        <f t="shared" si="1"/>
        <v/>
      </c>
      <c r="AI9" s="34" t="str">
        <f t="shared" si="1"/>
        <v/>
      </c>
      <c r="AJ9" s="34" t="str">
        <f t="shared" si="1"/>
        <v/>
      </c>
      <c r="AK9" s="34" t="str">
        <f t="shared" si="1"/>
        <v/>
      </c>
      <c r="AL9" s="34" t="str">
        <f t="shared" si="1"/>
        <v/>
      </c>
      <c r="AM9" s="34" t="str">
        <f t="shared" si="1"/>
        <v/>
      </c>
      <c r="AN9" s="34" t="str">
        <f t="shared" si="1"/>
        <v/>
      </c>
      <c r="AO9" s="34" t="str">
        <f t="shared" si="1"/>
        <v/>
      </c>
      <c r="AP9" s="34" t="str">
        <f t="shared" si="1"/>
        <v/>
      </c>
      <c r="AQ9" s="34" t="str">
        <f t="shared" si="1"/>
        <v/>
      </c>
      <c r="AR9" s="34" t="str">
        <f t="shared" si="1"/>
        <v/>
      </c>
      <c r="AS9" s="34" t="str">
        <f t="shared" si="1"/>
        <v/>
      </c>
      <c r="AT9" s="34" t="str">
        <f t="shared" si="1"/>
        <v/>
      </c>
      <c r="AU9" s="34" t="str">
        <f t="shared" si="1"/>
        <v/>
      </c>
      <c r="AV9" s="34" t="str">
        <f t="shared" si="1"/>
        <v/>
      </c>
      <c r="AW9" s="34" t="str">
        <f t="shared" si="1"/>
        <v/>
      </c>
      <c r="AX9" s="34" t="str">
        <f t="shared" si="1"/>
        <v/>
      </c>
      <c r="AY9" s="34" t="str">
        <f t="shared" si="1"/>
        <v/>
      </c>
      <c r="AZ9" s="34" t="str">
        <f t="shared" si="1"/>
        <v/>
      </c>
      <c r="BA9" s="34" t="str">
        <f t="shared" si="1"/>
        <v/>
      </c>
      <c r="BB9" s="34" t="str">
        <f t="shared" si="1"/>
        <v/>
      </c>
      <c r="BC9" s="34" t="str">
        <f t="shared" si="1"/>
        <v/>
      </c>
      <c r="BD9" s="34" t="str">
        <f t="shared" si="1"/>
        <v/>
      </c>
      <c r="BE9" s="34" t="str">
        <f t="shared" si="1"/>
        <v/>
      </c>
      <c r="BF9" s="34" t="str">
        <f t="shared" si="1"/>
        <v/>
      </c>
      <c r="BG9" s="34" t="str">
        <f t="shared" si="1"/>
        <v/>
      </c>
      <c r="BH9" s="34" t="str">
        <f t="shared" si="1"/>
        <v/>
      </c>
      <c r="BI9" s="34" t="str">
        <f t="shared" si="1"/>
        <v/>
      </c>
      <c r="BJ9" s="34" t="str">
        <f t="shared" si="1"/>
        <v/>
      </c>
      <c r="BK9" s="34" t="str">
        <f t="shared" si="1"/>
        <v/>
      </c>
      <c r="BL9" s="34" t="str">
        <f t="shared" si="1"/>
        <v/>
      </c>
      <c r="BM9" s="34" t="str">
        <f t="shared" si="1"/>
        <v/>
      </c>
      <c r="BN9" s="34" t="str">
        <f t="shared" si="1"/>
        <v/>
      </c>
      <c r="BO9" s="34" t="str">
        <f t="shared" si="1"/>
        <v/>
      </c>
      <c r="BP9" s="34" t="str">
        <f t="shared" si="1"/>
        <v/>
      </c>
      <c r="BQ9" s="34" t="str">
        <f t="shared" si="1"/>
        <v/>
      </c>
      <c r="BR9" s="34" t="str">
        <f t="shared" si="1"/>
        <v/>
      </c>
      <c r="BS9" s="34" t="str">
        <f t="shared" si="1"/>
        <v/>
      </c>
      <c r="BT9" s="34" t="str">
        <f t="shared" si="1"/>
        <v/>
      </c>
      <c r="BU9" s="34" t="str">
        <f t="shared" si="1"/>
        <v/>
      </c>
      <c r="BV9" s="34" t="str">
        <f t="shared" si="1"/>
        <v/>
      </c>
      <c r="BW9" s="34" t="str">
        <f t="shared" si="1"/>
        <v/>
      </c>
      <c r="BX9" s="35" t="str">
        <f t="shared" ref="M9:BX13" si="3">IF(BX$4=($G9-WEEKDAY($G9,2)+1),"u","")</f>
        <v/>
      </c>
    </row>
    <row r="10" spans="1:76" ht="20.100000000000001" customHeight="1" x14ac:dyDescent="0.25">
      <c r="A10" s="20"/>
      <c r="B10" s="25">
        <v>5</v>
      </c>
      <c r="C10" s="25"/>
      <c r="D10" s="25"/>
      <c r="E10" s="25"/>
      <c r="F10" s="26">
        <v>45969</v>
      </c>
      <c r="G10" s="26">
        <v>45996</v>
      </c>
      <c r="H10" s="25"/>
      <c r="I10" s="25" t="s">
        <v>13</v>
      </c>
      <c r="J10" s="27">
        <v>0</v>
      </c>
      <c r="K10" s="28"/>
      <c r="L10" s="33" t="str">
        <f t="shared" si="2"/>
        <v/>
      </c>
      <c r="M10" s="34" t="str">
        <f t="shared" si="3"/>
        <v/>
      </c>
      <c r="N10" s="34" t="str">
        <f t="shared" si="3"/>
        <v/>
      </c>
      <c r="O10" s="34" t="str">
        <f t="shared" si="3"/>
        <v/>
      </c>
      <c r="P10" s="34" t="str">
        <f t="shared" si="3"/>
        <v>u</v>
      </c>
      <c r="Q10" s="34" t="str">
        <f t="shared" si="3"/>
        <v/>
      </c>
      <c r="R10" s="34" t="str">
        <f t="shared" si="3"/>
        <v/>
      </c>
      <c r="S10" s="34" t="str">
        <f t="shared" si="3"/>
        <v/>
      </c>
      <c r="T10" s="34" t="str">
        <f t="shared" si="3"/>
        <v/>
      </c>
      <c r="U10" s="34" t="str">
        <f t="shared" si="3"/>
        <v/>
      </c>
      <c r="V10" s="34" t="str">
        <f t="shared" si="3"/>
        <v/>
      </c>
      <c r="W10" s="34" t="str">
        <f t="shared" si="3"/>
        <v/>
      </c>
      <c r="X10" s="34" t="str">
        <f t="shared" si="3"/>
        <v/>
      </c>
      <c r="Y10" s="34" t="str">
        <f t="shared" si="3"/>
        <v/>
      </c>
      <c r="Z10" s="34" t="str">
        <f t="shared" si="3"/>
        <v/>
      </c>
      <c r="AA10" s="34" t="str">
        <f t="shared" si="3"/>
        <v/>
      </c>
      <c r="AB10" s="34" t="str">
        <f t="shared" si="3"/>
        <v/>
      </c>
      <c r="AC10" s="34" t="str">
        <f t="shared" si="3"/>
        <v/>
      </c>
      <c r="AD10" s="34" t="str">
        <f t="shared" si="3"/>
        <v/>
      </c>
      <c r="AE10" s="34" t="str">
        <f t="shared" si="3"/>
        <v/>
      </c>
      <c r="AF10" s="34" t="str">
        <f t="shared" si="3"/>
        <v/>
      </c>
      <c r="AG10" s="34" t="str">
        <f t="shared" si="3"/>
        <v/>
      </c>
      <c r="AH10" s="34" t="str">
        <f t="shared" si="3"/>
        <v/>
      </c>
      <c r="AI10" s="34" t="str">
        <f t="shared" si="3"/>
        <v/>
      </c>
      <c r="AJ10" s="34" t="str">
        <f t="shared" si="3"/>
        <v/>
      </c>
      <c r="AK10" s="34" t="str">
        <f t="shared" si="3"/>
        <v/>
      </c>
      <c r="AL10" s="34" t="str">
        <f t="shared" si="3"/>
        <v/>
      </c>
      <c r="AM10" s="34" t="str">
        <f t="shared" si="3"/>
        <v/>
      </c>
      <c r="AN10" s="34" t="str">
        <f t="shared" si="3"/>
        <v/>
      </c>
      <c r="AO10" s="34" t="str">
        <f t="shared" si="3"/>
        <v/>
      </c>
      <c r="AP10" s="34" t="str">
        <f t="shared" si="3"/>
        <v/>
      </c>
      <c r="AQ10" s="34" t="str">
        <f t="shared" si="3"/>
        <v/>
      </c>
      <c r="AR10" s="34" t="str">
        <f t="shared" si="3"/>
        <v/>
      </c>
      <c r="AS10" s="34" t="str">
        <f t="shared" si="3"/>
        <v/>
      </c>
      <c r="AT10" s="34" t="str">
        <f t="shared" si="3"/>
        <v/>
      </c>
      <c r="AU10" s="34" t="str">
        <f t="shared" si="3"/>
        <v/>
      </c>
      <c r="AV10" s="34" t="str">
        <f t="shared" si="3"/>
        <v/>
      </c>
      <c r="AW10" s="34" t="str">
        <f t="shared" si="3"/>
        <v/>
      </c>
      <c r="AX10" s="34" t="str">
        <f t="shared" si="3"/>
        <v/>
      </c>
      <c r="AY10" s="34" t="str">
        <f t="shared" si="3"/>
        <v/>
      </c>
      <c r="AZ10" s="34" t="str">
        <f t="shared" si="3"/>
        <v/>
      </c>
      <c r="BA10" s="34" t="str">
        <f t="shared" si="3"/>
        <v/>
      </c>
      <c r="BB10" s="34" t="str">
        <f t="shared" si="3"/>
        <v/>
      </c>
      <c r="BC10" s="34" t="str">
        <f t="shared" si="3"/>
        <v/>
      </c>
      <c r="BD10" s="34" t="str">
        <f t="shared" si="3"/>
        <v/>
      </c>
      <c r="BE10" s="34" t="str">
        <f t="shared" si="3"/>
        <v/>
      </c>
      <c r="BF10" s="34" t="str">
        <f t="shared" si="3"/>
        <v/>
      </c>
      <c r="BG10" s="34" t="str">
        <f t="shared" si="3"/>
        <v/>
      </c>
      <c r="BH10" s="34" t="str">
        <f t="shared" si="3"/>
        <v/>
      </c>
      <c r="BI10" s="34" t="str">
        <f t="shared" si="3"/>
        <v/>
      </c>
      <c r="BJ10" s="34" t="str">
        <f t="shared" si="3"/>
        <v/>
      </c>
      <c r="BK10" s="34" t="str">
        <f t="shared" si="3"/>
        <v/>
      </c>
      <c r="BL10" s="34" t="str">
        <f t="shared" si="3"/>
        <v/>
      </c>
      <c r="BM10" s="34" t="str">
        <f t="shared" si="3"/>
        <v/>
      </c>
      <c r="BN10" s="34" t="str">
        <f t="shared" si="3"/>
        <v/>
      </c>
      <c r="BO10" s="34" t="str">
        <f t="shared" si="3"/>
        <v/>
      </c>
      <c r="BP10" s="34" t="str">
        <f t="shared" si="3"/>
        <v/>
      </c>
      <c r="BQ10" s="34" t="str">
        <f t="shared" si="3"/>
        <v/>
      </c>
      <c r="BR10" s="34" t="str">
        <f t="shared" si="3"/>
        <v/>
      </c>
      <c r="BS10" s="34" t="str">
        <f t="shared" si="3"/>
        <v/>
      </c>
      <c r="BT10" s="34" t="str">
        <f t="shared" si="3"/>
        <v/>
      </c>
      <c r="BU10" s="34" t="str">
        <f t="shared" si="3"/>
        <v/>
      </c>
      <c r="BV10" s="34" t="str">
        <f t="shared" si="3"/>
        <v/>
      </c>
      <c r="BW10" s="34" t="str">
        <f t="shared" si="3"/>
        <v/>
      </c>
      <c r="BX10" s="35" t="str">
        <f t="shared" si="3"/>
        <v/>
      </c>
    </row>
    <row r="11" spans="1:76" ht="20.100000000000001" customHeight="1" x14ac:dyDescent="0.25">
      <c r="A11" s="20"/>
      <c r="B11" s="25">
        <v>6</v>
      </c>
      <c r="C11" s="25"/>
      <c r="D11" s="25"/>
      <c r="E11" s="25"/>
      <c r="F11" s="26">
        <v>45970</v>
      </c>
      <c r="G11" s="26">
        <v>45997</v>
      </c>
      <c r="H11" s="25"/>
      <c r="I11" s="25" t="s">
        <v>15</v>
      </c>
      <c r="J11" s="27">
        <v>0</v>
      </c>
      <c r="K11" s="28"/>
      <c r="L11" s="33" t="str">
        <f t="shared" si="2"/>
        <v/>
      </c>
      <c r="M11" s="34" t="str">
        <f t="shared" si="3"/>
        <v/>
      </c>
      <c r="N11" s="34" t="str">
        <f t="shared" si="3"/>
        <v/>
      </c>
      <c r="O11" s="34" t="str">
        <f t="shared" si="3"/>
        <v/>
      </c>
      <c r="P11" s="34" t="str">
        <f t="shared" si="3"/>
        <v>u</v>
      </c>
      <c r="Q11" s="34" t="str">
        <f t="shared" si="3"/>
        <v/>
      </c>
      <c r="R11" s="34" t="str">
        <f t="shared" si="3"/>
        <v/>
      </c>
      <c r="S11" s="34" t="str">
        <f t="shared" si="3"/>
        <v/>
      </c>
      <c r="T11" s="34" t="str">
        <f t="shared" si="3"/>
        <v/>
      </c>
      <c r="U11" s="34" t="str">
        <f t="shared" si="3"/>
        <v/>
      </c>
      <c r="V11" s="34" t="str">
        <f t="shared" si="3"/>
        <v/>
      </c>
      <c r="W11" s="34" t="str">
        <f t="shared" si="3"/>
        <v/>
      </c>
      <c r="X11" s="34" t="str">
        <f t="shared" si="3"/>
        <v/>
      </c>
      <c r="Y11" s="34" t="str">
        <f t="shared" si="3"/>
        <v/>
      </c>
      <c r="Z11" s="34" t="str">
        <f t="shared" si="3"/>
        <v/>
      </c>
      <c r="AA11" s="34" t="str">
        <f t="shared" si="3"/>
        <v/>
      </c>
      <c r="AB11" s="34" t="str">
        <f t="shared" si="3"/>
        <v/>
      </c>
      <c r="AC11" s="34" t="str">
        <f t="shared" si="3"/>
        <v/>
      </c>
      <c r="AD11" s="34" t="str">
        <f t="shared" si="3"/>
        <v/>
      </c>
      <c r="AE11" s="34" t="str">
        <f t="shared" si="3"/>
        <v/>
      </c>
      <c r="AF11" s="34" t="str">
        <f t="shared" si="3"/>
        <v/>
      </c>
      <c r="AG11" s="34" t="str">
        <f t="shared" si="3"/>
        <v/>
      </c>
      <c r="AH11" s="34" t="str">
        <f t="shared" si="3"/>
        <v/>
      </c>
      <c r="AI11" s="34" t="str">
        <f t="shared" si="3"/>
        <v/>
      </c>
      <c r="AJ11" s="34" t="str">
        <f t="shared" si="3"/>
        <v/>
      </c>
      <c r="AK11" s="34" t="str">
        <f t="shared" si="3"/>
        <v/>
      </c>
      <c r="AL11" s="34" t="str">
        <f t="shared" si="3"/>
        <v/>
      </c>
      <c r="AM11" s="34" t="str">
        <f t="shared" si="3"/>
        <v/>
      </c>
      <c r="AN11" s="34" t="str">
        <f t="shared" si="3"/>
        <v/>
      </c>
      <c r="AO11" s="34" t="str">
        <f t="shared" si="3"/>
        <v/>
      </c>
      <c r="AP11" s="34" t="str">
        <f t="shared" si="3"/>
        <v/>
      </c>
      <c r="AQ11" s="34" t="str">
        <f t="shared" si="3"/>
        <v/>
      </c>
      <c r="AR11" s="34" t="str">
        <f t="shared" si="3"/>
        <v/>
      </c>
      <c r="AS11" s="34" t="str">
        <f t="shared" si="3"/>
        <v/>
      </c>
      <c r="AT11" s="34" t="str">
        <f t="shared" si="3"/>
        <v/>
      </c>
      <c r="AU11" s="34" t="str">
        <f t="shared" si="3"/>
        <v/>
      </c>
      <c r="AV11" s="34" t="str">
        <f t="shared" si="3"/>
        <v/>
      </c>
      <c r="AW11" s="34" t="str">
        <f t="shared" si="3"/>
        <v/>
      </c>
      <c r="AX11" s="34" t="str">
        <f t="shared" si="3"/>
        <v/>
      </c>
      <c r="AY11" s="34" t="str">
        <f t="shared" si="3"/>
        <v/>
      </c>
      <c r="AZ11" s="34" t="str">
        <f t="shared" si="3"/>
        <v/>
      </c>
      <c r="BA11" s="34" t="str">
        <f t="shared" si="3"/>
        <v/>
      </c>
      <c r="BB11" s="34" t="str">
        <f t="shared" si="3"/>
        <v/>
      </c>
      <c r="BC11" s="34" t="str">
        <f t="shared" si="3"/>
        <v/>
      </c>
      <c r="BD11" s="34" t="str">
        <f t="shared" si="3"/>
        <v/>
      </c>
      <c r="BE11" s="34" t="str">
        <f t="shared" si="3"/>
        <v/>
      </c>
      <c r="BF11" s="34" t="str">
        <f t="shared" si="3"/>
        <v/>
      </c>
      <c r="BG11" s="34" t="str">
        <f t="shared" si="3"/>
        <v/>
      </c>
      <c r="BH11" s="34" t="str">
        <f t="shared" si="3"/>
        <v/>
      </c>
      <c r="BI11" s="34" t="str">
        <f t="shared" si="3"/>
        <v/>
      </c>
      <c r="BJ11" s="34" t="str">
        <f t="shared" si="3"/>
        <v/>
      </c>
      <c r="BK11" s="34" t="str">
        <f t="shared" si="3"/>
        <v/>
      </c>
      <c r="BL11" s="34" t="str">
        <f t="shared" si="3"/>
        <v/>
      </c>
      <c r="BM11" s="34" t="str">
        <f t="shared" si="3"/>
        <v/>
      </c>
      <c r="BN11" s="34" t="str">
        <f t="shared" si="3"/>
        <v/>
      </c>
      <c r="BO11" s="34" t="str">
        <f t="shared" si="3"/>
        <v/>
      </c>
      <c r="BP11" s="34" t="str">
        <f t="shared" si="3"/>
        <v/>
      </c>
      <c r="BQ11" s="34" t="str">
        <f t="shared" si="3"/>
        <v/>
      </c>
      <c r="BR11" s="34" t="str">
        <f t="shared" si="3"/>
        <v/>
      </c>
      <c r="BS11" s="34" t="str">
        <f t="shared" si="3"/>
        <v/>
      </c>
      <c r="BT11" s="34" t="str">
        <f t="shared" si="3"/>
        <v/>
      </c>
      <c r="BU11" s="34" t="str">
        <f t="shared" si="3"/>
        <v/>
      </c>
      <c r="BV11" s="34" t="str">
        <f t="shared" si="3"/>
        <v/>
      </c>
      <c r="BW11" s="34" t="str">
        <f t="shared" si="3"/>
        <v/>
      </c>
      <c r="BX11" s="35" t="str">
        <f t="shared" si="3"/>
        <v/>
      </c>
    </row>
    <row r="12" spans="1:76" ht="20.100000000000001" customHeight="1" x14ac:dyDescent="0.25">
      <c r="A12" s="20"/>
      <c r="B12" s="25">
        <v>7</v>
      </c>
      <c r="C12" s="25"/>
      <c r="D12" s="25"/>
      <c r="E12" s="25"/>
      <c r="F12" s="26">
        <v>45971</v>
      </c>
      <c r="G12" s="26">
        <v>45998</v>
      </c>
      <c r="H12" s="25"/>
      <c r="I12" s="25" t="s">
        <v>16</v>
      </c>
      <c r="J12" s="27">
        <v>0</v>
      </c>
      <c r="K12" s="28"/>
      <c r="L12" s="33" t="str">
        <f t="shared" si="2"/>
        <v/>
      </c>
      <c r="M12" s="34" t="str">
        <f t="shared" si="3"/>
        <v/>
      </c>
      <c r="N12" s="34" t="str">
        <f t="shared" si="3"/>
        <v/>
      </c>
      <c r="O12" s="34" t="str">
        <f t="shared" si="3"/>
        <v/>
      </c>
      <c r="P12" s="34" t="str">
        <f t="shared" si="3"/>
        <v>u</v>
      </c>
      <c r="Q12" s="34" t="str">
        <f t="shared" si="3"/>
        <v/>
      </c>
      <c r="R12" s="34" t="str">
        <f t="shared" si="3"/>
        <v/>
      </c>
      <c r="S12" s="34" t="str">
        <f t="shared" si="3"/>
        <v/>
      </c>
      <c r="T12" s="34" t="str">
        <f t="shared" si="3"/>
        <v/>
      </c>
      <c r="U12" s="34" t="str">
        <f t="shared" si="3"/>
        <v/>
      </c>
      <c r="V12" s="34" t="str">
        <f t="shared" si="3"/>
        <v/>
      </c>
      <c r="W12" s="34" t="str">
        <f t="shared" si="3"/>
        <v/>
      </c>
      <c r="X12" s="34" t="str">
        <f t="shared" si="3"/>
        <v/>
      </c>
      <c r="Y12" s="34" t="str">
        <f t="shared" si="3"/>
        <v/>
      </c>
      <c r="Z12" s="34" t="str">
        <f t="shared" si="3"/>
        <v/>
      </c>
      <c r="AA12" s="34" t="str">
        <f t="shared" si="3"/>
        <v/>
      </c>
      <c r="AB12" s="34" t="str">
        <f t="shared" si="3"/>
        <v/>
      </c>
      <c r="AC12" s="34" t="str">
        <f t="shared" si="3"/>
        <v/>
      </c>
      <c r="AD12" s="34" t="str">
        <f t="shared" si="3"/>
        <v/>
      </c>
      <c r="AE12" s="34" t="str">
        <f t="shared" si="3"/>
        <v/>
      </c>
      <c r="AF12" s="34" t="str">
        <f t="shared" si="3"/>
        <v/>
      </c>
      <c r="AG12" s="34" t="str">
        <f t="shared" si="3"/>
        <v/>
      </c>
      <c r="AH12" s="34" t="str">
        <f t="shared" si="3"/>
        <v/>
      </c>
      <c r="AI12" s="34" t="str">
        <f t="shared" si="3"/>
        <v/>
      </c>
      <c r="AJ12" s="34" t="str">
        <f t="shared" si="3"/>
        <v/>
      </c>
      <c r="AK12" s="34" t="str">
        <f t="shared" si="3"/>
        <v/>
      </c>
      <c r="AL12" s="34" t="str">
        <f t="shared" si="3"/>
        <v/>
      </c>
      <c r="AM12" s="34" t="str">
        <f t="shared" si="3"/>
        <v/>
      </c>
      <c r="AN12" s="34" t="str">
        <f t="shared" si="3"/>
        <v/>
      </c>
      <c r="AO12" s="34" t="str">
        <f t="shared" si="3"/>
        <v/>
      </c>
      <c r="AP12" s="34" t="str">
        <f t="shared" si="3"/>
        <v/>
      </c>
      <c r="AQ12" s="34" t="str">
        <f t="shared" si="3"/>
        <v/>
      </c>
      <c r="AR12" s="34" t="str">
        <f t="shared" si="3"/>
        <v/>
      </c>
      <c r="AS12" s="34" t="str">
        <f t="shared" si="3"/>
        <v/>
      </c>
      <c r="AT12" s="34" t="str">
        <f t="shared" si="3"/>
        <v/>
      </c>
      <c r="AU12" s="34" t="str">
        <f t="shared" si="3"/>
        <v/>
      </c>
      <c r="AV12" s="34" t="str">
        <f t="shared" si="3"/>
        <v/>
      </c>
      <c r="AW12" s="34" t="str">
        <f t="shared" si="3"/>
        <v/>
      </c>
      <c r="AX12" s="34" t="str">
        <f t="shared" si="3"/>
        <v/>
      </c>
      <c r="AY12" s="34" t="str">
        <f t="shared" si="3"/>
        <v/>
      </c>
      <c r="AZ12" s="34" t="str">
        <f t="shared" si="3"/>
        <v/>
      </c>
      <c r="BA12" s="34" t="str">
        <f t="shared" si="3"/>
        <v/>
      </c>
      <c r="BB12" s="34" t="str">
        <f t="shared" si="3"/>
        <v/>
      </c>
      <c r="BC12" s="34" t="str">
        <f t="shared" si="3"/>
        <v/>
      </c>
      <c r="BD12" s="34" t="str">
        <f t="shared" si="3"/>
        <v/>
      </c>
      <c r="BE12" s="34" t="str">
        <f t="shared" si="3"/>
        <v/>
      </c>
      <c r="BF12" s="34" t="str">
        <f t="shared" si="3"/>
        <v/>
      </c>
      <c r="BG12" s="34" t="str">
        <f t="shared" si="3"/>
        <v/>
      </c>
      <c r="BH12" s="34" t="str">
        <f t="shared" si="3"/>
        <v/>
      </c>
      <c r="BI12" s="34" t="str">
        <f t="shared" si="3"/>
        <v/>
      </c>
      <c r="BJ12" s="34" t="str">
        <f t="shared" si="3"/>
        <v/>
      </c>
      <c r="BK12" s="34" t="str">
        <f t="shared" si="3"/>
        <v/>
      </c>
      <c r="BL12" s="34" t="str">
        <f t="shared" si="3"/>
        <v/>
      </c>
      <c r="BM12" s="34" t="str">
        <f t="shared" si="3"/>
        <v/>
      </c>
      <c r="BN12" s="34" t="str">
        <f t="shared" si="3"/>
        <v/>
      </c>
      <c r="BO12" s="34" t="str">
        <f t="shared" si="3"/>
        <v/>
      </c>
      <c r="BP12" s="34" t="str">
        <f t="shared" si="3"/>
        <v/>
      </c>
      <c r="BQ12" s="34" t="str">
        <f t="shared" si="3"/>
        <v/>
      </c>
      <c r="BR12" s="34" t="str">
        <f t="shared" si="3"/>
        <v/>
      </c>
      <c r="BS12" s="34" t="str">
        <f t="shared" si="3"/>
        <v/>
      </c>
      <c r="BT12" s="34" t="str">
        <f t="shared" si="3"/>
        <v/>
      </c>
      <c r="BU12" s="34" t="str">
        <f t="shared" si="3"/>
        <v/>
      </c>
      <c r="BV12" s="34" t="str">
        <f t="shared" si="3"/>
        <v/>
      </c>
      <c r="BW12" s="34" t="str">
        <f t="shared" si="3"/>
        <v/>
      </c>
      <c r="BX12" s="35" t="str">
        <f t="shared" si="3"/>
        <v/>
      </c>
    </row>
    <row r="13" spans="1:76" ht="20.100000000000001" customHeight="1" x14ac:dyDescent="0.25">
      <c r="A13" s="20"/>
      <c r="B13" s="25">
        <v>8</v>
      </c>
      <c r="C13" s="25"/>
      <c r="D13" s="25"/>
      <c r="E13" s="25"/>
      <c r="F13" s="26">
        <v>45972</v>
      </c>
      <c r="G13" s="26">
        <v>45999</v>
      </c>
      <c r="H13" s="25"/>
      <c r="I13" s="25" t="s">
        <v>14</v>
      </c>
      <c r="J13" s="27">
        <v>0</v>
      </c>
      <c r="K13" s="28"/>
      <c r="L13" s="33" t="str">
        <f t="shared" si="2"/>
        <v/>
      </c>
      <c r="M13" s="34" t="str">
        <f t="shared" si="3"/>
        <v/>
      </c>
      <c r="N13" s="34" t="str">
        <f t="shared" si="3"/>
        <v/>
      </c>
      <c r="O13" s="34" t="str">
        <f t="shared" si="3"/>
        <v/>
      </c>
      <c r="P13" s="34" t="str">
        <f t="shared" si="3"/>
        <v/>
      </c>
      <c r="Q13" s="34" t="str">
        <f t="shared" si="3"/>
        <v>u</v>
      </c>
      <c r="R13" s="34" t="str">
        <f t="shared" si="3"/>
        <v/>
      </c>
      <c r="S13" s="34" t="str">
        <f t="shared" si="3"/>
        <v/>
      </c>
      <c r="T13" s="34" t="str">
        <f t="shared" si="3"/>
        <v/>
      </c>
      <c r="U13" s="34" t="str">
        <f t="shared" si="3"/>
        <v/>
      </c>
      <c r="V13" s="34" t="str">
        <f t="shared" si="3"/>
        <v/>
      </c>
      <c r="W13" s="34" t="str">
        <f t="shared" si="3"/>
        <v/>
      </c>
      <c r="X13" s="34" t="str">
        <f t="shared" si="3"/>
        <v/>
      </c>
      <c r="Y13" s="34" t="str">
        <f t="shared" si="3"/>
        <v/>
      </c>
      <c r="Z13" s="34" t="str">
        <f t="shared" si="3"/>
        <v/>
      </c>
      <c r="AA13" s="34" t="str">
        <f t="shared" si="3"/>
        <v/>
      </c>
      <c r="AB13" s="34" t="str">
        <f t="shared" si="3"/>
        <v/>
      </c>
      <c r="AC13" s="34" t="str">
        <f t="shared" si="3"/>
        <v/>
      </c>
      <c r="AD13" s="34" t="str">
        <f t="shared" si="3"/>
        <v/>
      </c>
      <c r="AE13" s="34" t="str">
        <f t="shared" si="3"/>
        <v/>
      </c>
      <c r="AF13" s="34" t="str">
        <f t="shared" si="3"/>
        <v/>
      </c>
      <c r="AG13" s="34" t="str">
        <f t="shared" si="3"/>
        <v/>
      </c>
      <c r="AH13" s="34" t="str">
        <f t="shared" si="3"/>
        <v/>
      </c>
      <c r="AI13" s="34" t="str">
        <f t="shared" si="3"/>
        <v/>
      </c>
      <c r="AJ13" s="34" t="str">
        <f t="shared" si="3"/>
        <v/>
      </c>
      <c r="AK13" s="34" t="str">
        <f t="shared" si="3"/>
        <v/>
      </c>
      <c r="AL13" s="34" t="str">
        <f t="shared" si="3"/>
        <v/>
      </c>
      <c r="AM13" s="34" t="str">
        <f t="shared" si="3"/>
        <v/>
      </c>
      <c r="AN13" s="34" t="str">
        <f t="shared" si="3"/>
        <v/>
      </c>
      <c r="AO13" s="34" t="str">
        <f t="shared" si="3"/>
        <v/>
      </c>
      <c r="AP13" s="34" t="str">
        <f t="shared" si="3"/>
        <v/>
      </c>
      <c r="AQ13" s="34" t="str">
        <f t="shared" si="3"/>
        <v/>
      </c>
      <c r="AR13" s="34" t="str">
        <f t="shared" si="3"/>
        <v/>
      </c>
      <c r="AS13" s="34" t="str">
        <f t="shared" si="3"/>
        <v/>
      </c>
      <c r="AT13" s="34" t="str">
        <f t="shared" si="3"/>
        <v/>
      </c>
      <c r="AU13" s="34" t="str">
        <f t="shared" si="3"/>
        <v/>
      </c>
      <c r="AV13" s="34" t="str">
        <f t="shared" si="3"/>
        <v/>
      </c>
      <c r="AW13" s="34" t="str">
        <f t="shared" si="3"/>
        <v/>
      </c>
      <c r="AX13" s="34" t="str">
        <f t="shared" si="3"/>
        <v/>
      </c>
      <c r="AY13" s="34" t="str">
        <f t="shared" si="3"/>
        <v/>
      </c>
      <c r="AZ13" s="34" t="str">
        <f t="shared" si="3"/>
        <v/>
      </c>
      <c r="BA13" s="34" t="str">
        <f t="shared" si="3"/>
        <v/>
      </c>
      <c r="BB13" s="34" t="str">
        <f t="shared" si="3"/>
        <v/>
      </c>
      <c r="BC13" s="34" t="str">
        <f t="shared" si="3"/>
        <v/>
      </c>
      <c r="BD13" s="34" t="str">
        <f t="shared" si="3"/>
        <v/>
      </c>
      <c r="BE13" s="34" t="str">
        <f t="shared" si="3"/>
        <v/>
      </c>
      <c r="BF13" s="34" t="str">
        <f t="shared" si="3"/>
        <v/>
      </c>
      <c r="BG13" s="34" t="str">
        <f t="shared" si="3"/>
        <v/>
      </c>
      <c r="BH13" s="34" t="str">
        <f t="shared" si="3"/>
        <v/>
      </c>
      <c r="BI13" s="34" t="str">
        <f t="shared" si="3"/>
        <v/>
      </c>
      <c r="BJ13" s="34" t="str">
        <f t="shared" si="3"/>
        <v/>
      </c>
      <c r="BK13" s="34" t="str">
        <f t="shared" si="3"/>
        <v/>
      </c>
      <c r="BL13" s="34" t="str">
        <f t="shared" si="3"/>
        <v/>
      </c>
      <c r="BM13" s="34" t="str">
        <f t="shared" si="3"/>
        <v/>
      </c>
      <c r="BN13" s="34" t="str">
        <f t="shared" si="3"/>
        <v/>
      </c>
      <c r="BO13" s="34" t="str">
        <f t="shared" si="3"/>
        <v/>
      </c>
      <c r="BP13" s="34" t="str">
        <f t="shared" si="3"/>
        <v/>
      </c>
      <c r="BQ13" s="34" t="str">
        <f t="shared" si="3"/>
        <v/>
      </c>
      <c r="BR13" s="34" t="str">
        <f t="shared" si="3"/>
        <v/>
      </c>
      <c r="BS13" s="34" t="str">
        <f t="shared" si="3"/>
        <v/>
      </c>
      <c r="BT13" s="34" t="str">
        <f t="shared" si="3"/>
        <v/>
      </c>
      <c r="BU13" s="34" t="str">
        <f t="shared" si="3"/>
        <v/>
      </c>
      <c r="BV13" s="34" t="str">
        <f t="shared" si="3"/>
        <v/>
      </c>
      <c r="BW13" s="34" t="str">
        <f t="shared" ref="BW13:BX24" si="4">IF(BW$4=($G13-WEEKDAY($G13,2)+1),"u","")</f>
        <v/>
      </c>
      <c r="BX13" s="35" t="str">
        <f t="shared" si="4"/>
        <v/>
      </c>
    </row>
    <row r="14" spans="1:76" ht="20.100000000000001" customHeight="1" x14ac:dyDescent="0.25">
      <c r="A14" s="20"/>
      <c r="B14" s="25">
        <v>9</v>
      </c>
      <c r="C14" s="25"/>
      <c r="D14" s="25"/>
      <c r="E14" s="25"/>
      <c r="F14" s="26">
        <v>45973</v>
      </c>
      <c r="G14" s="26">
        <v>46000</v>
      </c>
      <c r="H14" s="25"/>
      <c r="I14" s="25" t="s">
        <v>13</v>
      </c>
      <c r="J14" s="27">
        <v>0</v>
      </c>
      <c r="K14" s="28"/>
      <c r="L14" s="33" t="str">
        <f t="shared" si="2"/>
        <v/>
      </c>
      <c r="M14" s="34" t="str">
        <f t="shared" si="2"/>
        <v/>
      </c>
      <c r="N14" s="34" t="str">
        <f t="shared" si="2"/>
        <v/>
      </c>
      <c r="O14" s="34" t="str">
        <f t="shared" si="2"/>
        <v/>
      </c>
      <c r="P14" s="34" t="str">
        <f t="shared" si="2"/>
        <v/>
      </c>
      <c r="Q14" s="34" t="str">
        <f t="shared" si="2"/>
        <v>u</v>
      </c>
      <c r="R14" s="34" t="str">
        <f t="shared" si="2"/>
        <v/>
      </c>
      <c r="S14" s="34" t="str">
        <f t="shared" si="2"/>
        <v/>
      </c>
      <c r="T14" s="34" t="str">
        <f t="shared" si="2"/>
        <v/>
      </c>
      <c r="U14" s="34" t="str">
        <f t="shared" si="2"/>
        <v/>
      </c>
      <c r="V14" s="34" t="str">
        <f t="shared" si="2"/>
        <v/>
      </c>
      <c r="W14" s="34" t="str">
        <f t="shared" si="2"/>
        <v/>
      </c>
      <c r="X14" s="34" t="str">
        <f t="shared" si="2"/>
        <v/>
      </c>
      <c r="Y14" s="34" t="str">
        <f t="shared" si="2"/>
        <v/>
      </c>
      <c r="Z14" s="34" t="str">
        <f t="shared" si="2"/>
        <v/>
      </c>
      <c r="AA14" s="34" t="str">
        <f t="shared" si="2"/>
        <v/>
      </c>
      <c r="AB14" s="34" t="str">
        <f t="shared" ref="AB14:AQ24" si="5">IF(AB$4=($G14-WEEKDAY($G14,2)+1),"u","")</f>
        <v/>
      </c>
      <c r="AC14" s="34" t="str">
        <f t="shared" si="5"/>
        <v/>
      </c>
      <c r="AD14" s="34" t="str">
        <f t="shared" si="5"/>
        <v/>
      </c>
      <c r="AE14" s="34" t="str">
        <f t="shared" si="5"/>
        <v/>
      </c>
      <c r="AF14" s="34" t="str">
        <f t="shared" si="5"/>
        <v/>
      </c>
      <c r="AG14" s="34" t="str">
        <f t="shared" si="5"/>
        <v/>
      </c>
      <c r="AH14" s="34" t="str">
        <f t="shared" si="5"/>
        <v/>
      </c>
      <c r="AI14" s="34" t="str">
        <f t="shared" si="5"/>
        <v/>
      </c>
      <c r="AJ14" s="34" t="str">
        <f t="shared" si="5"/>
        <v/>
      </c>
      <c r="AK14" s="34" t="str">
        <f t="shared" si="5"/>
        <v/>
      </c>
      <c r="AL14" s="34" t="str">
        <f t="shared" si="5"/>
        <v/>
      </c>
      <c r="AM14" s="34" t="str">
        <f t="shared" si="5"/>
        <v/>
      </c>
      <c r="AN14" s="34" t="str">
        <f t="shared" si="5"/>
        <v/>
      </c>
      <c r="AO14" s="34" t="str">
        <f t="shared" si="5"/>
        <v/>
      </c>
      <c r="AP14" s="34" t="str">
        <f t="shared" si="5"/>
        <v/>
      </c>
      <c r="AQ14" s="34" t="str">
        <f t="shared" si="5"/>
        <v/>
      </c>
      <c r="AR14" s="34" t="str">
        <f t="shared" ref="AR14:BG24" si="6">IF(AR$4=($G14-WEEKDAY($G14,2)+1),"u","")</f>
        <v/>
      </c>
      <c r="AS14" s="34" t="str">
        <f t="shared" si="6"/>
        <v/>
      </c>
      <c r="AT14" s="34" t="str">
        <f t="shared" si="6"/>
        <v/>
      </c>
      <c r="AU14" s="34" t="str">
        <f t="shared" si="6"/>
        <v/>
      </c>
      <c r="AV14" s="34" t="str">
        <f t="shared" si="6"/>
        <v/>
      </c>
      <c r="AW14" s="34" t="str">
        <f t="shared" si="6"/>
        <v/>
      </c>
      <c r="AX14" s="34" t="str">
        <f t="shared" si="6"/>
        <v/>
      </c>
      <c r="AY14" s="34" t="str">
        <f t="shared" si="6"/>
        <v/>
      </c>
      <c r="AZ14" s="34" t="str">
        <f t="shared" si="6"/>
        <v/>
      </c>
      <c r="BA14" s="34" t="str">
        <f t="shared" si="6"/>
        <v/>
      </c>
      <c r="BB14" s="34" t="str">
        <f t="shared" si="6"/>
        <v/>
      </c>
      <c r="BC14" s="34" t="str">
        <f t="shared" si="6"/>
        <v/>
      </c>
      <c r="BD14" s="34" t="str">
        <f t="shared" si="6"/>
        <v/>
      </c>
      <c r="BE14" s="34" t="str">
        <f t="shared" si="6"/>
        <v/>
      </c>
      <c r="BF14" s="34" t="str">
        <f t="shared" si="6"/>
        <v/>
      </c>
      <c r="BG14" s="34" t="str">
        <f t="shared" si="6"/>
        <v/>
      </c>
      <c r="BH14" s="34" t="str">
        <f t="shared" ref="BH14:BW24" si="7">IF(BH$4=($G14-WEEKDAY($G14,2)+1),"u","")</f>
        <v/>
      </c>
      <c r="BI14" s="34" t="str">
        <f t="shared" si="7"/>
        <v/>
      </c>
      <c r="BJ14" s="34" t="str">
        <f t="shared" si="7"/>
        <v/>
      </c>
      <c r="BK14" s="34" t="str">
        <f t="shared" si="7"/>
        <v/>
      </c>
      <c r="BL14" s="34" t="str">
        <f t="shared" si="7"/>
        <v/>
      </c>
      <c r="BM14" s="34" t="str">
        <f t="shared" si="7"/>
        <v/>
      </c>
      <c r="BN14" s="34" t="str">
        <f t="shared" si="7"/>
        <v/>
      </c>
      <c r="BO14" s="34" t="str">
        <f t="shared" si="7"/>
        <v/>
      </c>
      <c r="BP14" s="34" t="str">
        <f t="shared" si="7"/>
        <v/>
      </c>
      <c r="BQ14" s="34" t="str">
        <f t="shared" si="7"/>
        <v/>
      </c>
      <c r="BR14" s="34" t="str">
        <f t="shared" si="7"/>
        <v/>
      </c>
      <c r="BS14" s="34" t="str">
        <f t="shared" si="7"/>
        <v/>
      </c>
      <c r="BT14" s="34" t="str">
        <f t="shared" si="7"/>
        <v/>
      </c>
      <c r="BU14" s="34" t="str">
        <f t="shared" si="7"/>
        <v/>
      </c>
      <c r="BV14" s="34" t="str">
        <f t="shared" si="7"/>
        <v/>
      </c>
      <c r="BW14" s="34" t="str">
        <f t="shared" si="7"/>
        <v/>
      </c>
      <c r="BX14" s="35" t="str">
        <f t="shared" si="4"/>
        <v/>
      </c>
    </row>
    <row r="15" spans="1:76" ht="20.100000000000001" customHeight="1" x14ac:dyDescent="0.25">
      <c r="A15" s="20"/>
      <c r="B15" s="25">
        <v>10</v>
      </c>
      <c r="C15" s="25"/>
      <c r="D15" s="25"/>
      <c r="E15" s="25"/>
      <c r="F15" s="26">
        <v>45974</v>
      </c>
      <c r="G15" s="26">
        <v>46001</v>
      </c>
      <c r="H15" s="25"/>
      <c r="I15" s="25" t="s">
        <v>15</v>
      </c>
      <c r="J15" s="27">
        <v>0</v>
      </c>
      <c r="K15" s="28"/>
      <c r="L15" s="33" t="str">
        <f t="shared" si="2"/>
        <v/>
      </c>
      <c r="M15" s="34" t="str">
        <f t="shared" si="2"/>
        <v/>
      </c>
      <c r="N15" s="34" t="str">
        <f t="shared" si="2"/>
        <v/>
      </c>
      <c r="O15" s="34" t="str">
        <f t="shared" si="2"/>
        <v/>
      </c>
      <c r="P15" s="34" t="str">
        <f t="shared" si="2"/>
        <v/>
      </c>
      <c r="Q15" s="34" t="str">
        <f t="shared" si="2"/>
        <v>u</v>
      </c>
      <c r="R15" s="34" t="str">
        <f t="shared" si="2"/>
        <v/>
      </c>
      <c r="S15" s="34" t="str">
        <f t="shared" si="2"/>
        <v/>
      </c>
      <c r="T15" s="34" t="str">
        <f t="shared" si="2"/>
        <v/>
      </c>
      <c r="U15" s="34" t="str">
        <f t="shared" si="2"/>
        <v/>
      </c>
      <c r="V15" s="34" t="str">
        <f t="shared" si="2"/>
        <v/>
      </c>
      <c r="W15" s="34" t="str">
        <f t="shared" si="2"/>
        <v/>
      </c>
      <c r="X15" s="34" t="str">
        <f t="shared" si="2"/>
        <v/>
      </c>
      <c r="Y15" s="34" t="str">
        <f t="shared" si="2"/>
        <v/>
      </c>
      <c r="Z15" s="34" t="str">
        <f t="shared" si="2"/>
        <v/>
      </c>
      <c r="AA15" s="34" t="str">
        <f t="shared" si="2"/>
        <v/>
      </c>
      <c r="AB15" s="34" t="str">
        <f t="shared" si="5"/>
        <v/>
      </c>
      <c r="AC15" s="34" t="str">
        <f t="shared" si="5"/>
        <v/>
      </c>
      <c r="AD15" s="34" t="str">
        <f t="shared" si="5"/>
        <v/>
      </c>
      <c r="AE15" s="34" t="str">
        <f t="shared" si="5"/>
        <v/>
      </c>
      <c r="AF15" s="34" t="str">
        <f t="shared" si="5"/>
        <v/>
      </c>
      <c r="AG15" s="34" t="str">
        <f t="shared" si="5"/>
        <v/>
      </c>
      <c r="AH15" s="34" t="str">
        <f t="shared" si="5"/>
        <v/>
      </c>
      <c r="AI15" s="34" t="str">
        <f t="shared" si="5"/>
        <v/>
      </c>
      <c r="AJ15" s="34" t="str">
        <f t="shared" si="5"/>
        <v/>
      </c>
      <c r="AK15" s="34" t="str">
        <f t="shared" si="5"/>
        <v/>
      </c>
      <c r="AL15" s="34" t="str">
        <f t="shared" si="5"/>
        <v/>
      </c>
      <c r="AM15" s="34" t="str">
        <f t="shared" si="5"/>
        <v/>
      </c>
      <c r="AN15" s="34" t="str">
        <f t="shared" si="5"/>
        <v/>
      </c>
      <c r="AO15" s="34" t="str">
        <f t="shared" si="5"/>
        <v/>
      </c>
      <c r="AP15" s="34" t="str">
        <f t="shared" si="5"/>
        <v/>
      </c>
      <c r="AQ15" s="34" t="str">
        <f t="shared" si="5"/>
        <v/>
      </c>
      <c r="AR15" s="34" t="str">
        <f t="shared" si="6"/>
        <v/>
      </c>
      <c r="AS15" s="34" t="str">
        <f t="shared" si="6"/>
        <v/>
      </c>
      <c r="AT15" s="34" t="str">
        <f t="shared" si="6"/>
        <v/>
      </c>
      <c r="AU15" s="34" t="str">
        <f t="shared" si="6"/>
        <v/>
      </c>
      <c r="AV15" s="34" t="str">
        <f t="shared" si="6"/>
        <v/>
      </c>
      <c r="AW15" s="34" t="str">
        <f t="shared" si="6"/>
        <v/>
      </c>
      <c r="AX15" s="34" t="str">
        <f t="shared" si="6"/>
        <v/>
      </c>
      <c r="AY15" s="34" t="str">
        <f t="shared" si="6"/>
        <v/>
      </c>
      <c r="AZ15" s="34" t="str">
        <f t="shared" si="6"/>
        <v/>
      </c>
      <c r="BA15" s="34" t="str">
        <f t="shared" si="6"/>
        <v/>
      </c>
      <c r="BB15" s="34" t="str">
        <f t="shared" si="6"/>
        <v/>
      </c>
      <c r="BC15" s="34" t="str">
        <f t="shared" si="6"/>
        <v/>
      </c>
      <c r="BD15" s="34" t="str">
        <f t="shared" si="6"/>
        <v/>
      </c>
      <c r="BE15" s="34" t="str">
        <f t="shared" si="6"/>
        <v/>
      </c>
      <c r="BF15" s="34" t="str">
        <f t="shared" si="6"/>
        <v/>
      </c>
      <c r="BG15" s="34" t="str">
        <f t="shared" si="6"/>
        <v/>
      </c>
      <c r="BH15" s="34" t="str">
        <f t="shared" si="7"/>
        <v/>
      </c>
      <c r="BI15" s="34" t="str">
        <f t="shared" si="7"/>
        <v/>
      </c>
      <c r="BJ15" s="34" t="str">
        <f t="shared" si="7"/>
        <v/>
      </c>
      <c r="BK15" s="34" t="str">
        <f t="shared" si="7"/>
        <v/>
      </c>
      <c r="BL15" s="34" t="str">
        <f t="shared" si="7"/>
        <v/>
      </c>
      <c r="BM15" s="34" t="str">
        <f t="shared" si="7"/>
        <v/>
      </c>
      <c r="BN15" s="34" t="str">
        <f t="shared" si="7"/>
        <v/>
      </c>
      <c r="BO15" s="34" t="str">
        <f t="shared" si="7"/>
        <v/>
      </c>
      <c r="BP15" s="34" t="str">
        <f t="shared" si="7"/>
        <v/>
      </c>
      <c r="BQ15" s="34" t="str">
        <f t="shared" si="7"/>
        <v/>
      </c>
      <c r="BR15" s="34" t="str">
        <f t="shared" si="7"/>
        <v/>
      </c>
      <c r="BS15" s="34" t="str">
        <f t="shared" si="7"/>
        <v/>
      </c>
      <c r="BT15" s="34" t="str">
        <f t="shared" si="7"/>
        <v/>
      </c>
      <c r="BU15" s="34" t="str">
        <f t="shared" si="7"/>
        <v/>
      </c>
      <c r="BV15" s="34" t="str">
        <f t="shared" si="7"/>
        <v/>
      </c>
      <c r="BW15" s="34" t="str">
        <f t="shared" si="7"/>
        <v/>
      </c>
      <c r="BX15" s="35" t="str">
        <f t="shared" si="4"/>
        <v/>
      </c>
    </row>
    <row r="16" spans="1:76" ht="20.100000000000001" customHeight="1" x14ac:dyDescent="0.25">
      <c r="A16" s="20"/>
      <c r="B16" s="25">
        <v>11</v>
      </c>
      <c r="C16" s="25"/>
      <c r="D16" s="25"/>
      <c r="E16" s="25"/>
      <c r="F16" s="26">
        <v>45975</v>
      </c>
      <c r="G16" s="26">
        <v>46002</v>
      </c>
      <c r="H16" s="25"/>
      <c r="I16" s="25" t="s">
        <v>16</v>
      </c>
      <c r="J16" s="27">
        <v>0</v>
      </c>
      <c r="K16" s="28"/>
      <c r="L16" s="33" t="str">
        <f t="shared" si="2"/>
        <v/>
      </c>
      <c r="M16" s="34" t="str">
        <f t="shared" si="2"/>
        <v/>
      </c>
      <c r="N16" s="34" t="str">
        <f t="shared" si="2"/>
        <v/>
      </c>
      <c r="O16" s="34" t="str">
        <f t="shared" si="2"/>
        <v/>
      </c>
      <c r="P16" s="34" t="str">
        <f t="shared" si="2"/>
        <v/>
      </c>
      <c r="Q16" s="34" t="str">
        <f t="shared" si="2"/>
        <v>u</v>
      </c>
      <c r="R16" s="34" t="str">
        <f t="shared" si="2"/>
        <v/>
      </c>
      <c r="S16" s="34" t="str">
        <f t="shared" si="2"/>
        <v/>
      </c>
      <c r="T16" s="34" t="str">
        <f t="shared" si="2"/>
        <v/>
      </c>
      <c r="U16" s="34" t="str">
        <f t="shared" si="2"/>
        <v/>
      </c>
      <c r="V16" s="34" t="str">
        <f t="shared" si="2"/>
        <v/>
      </c>
      <c r="W16" s="34" t="str">
        <f t="shared" si="2"/>
        <v/>
      </c>
      <c r="X16" s="34" t="str">
        <f t="shared" si="2"/>
        <v/>
      </c>
      <c r="Y16" s="34" t="str">
        <f t="shared" si="2"/>
        <v/>
      </c>
      <c r="Z16" s="34" t="str">
        <f t="shared" si="2"/>
        <v/>
      </c>
      <c r="AA16" s="34" t="str">
        <f t="shared" si="2"/>
        <v/>
      </c>
      <c r="AB16" s="34" t="str">
        <f t="shared" si="5"/>
        <v/>
      </c>
      <c r="AC16" s="34" t="str">
        <f t="shared" si="5"/>
        <v/>
      </c>
      <c r="AD16" s="34" t="str">
        <f t="shared" si="5"/>
        <v/>
      </c>
      <c r="AE16" s="34" t="str">
        <f t="shared" si="5"/>
        <v/>
      </c>
      <c r="AF16" s="34" t="str">
        <f t="shared" si="5"/>
        <v/>
      </c>
      <c r="AG16" s="34" t="str">
        <f t="shared" si="5"/>
        <v/>
      </c>
      <c r="AH16" s="34" t="str">
        <f t="shared" si="5"/>
        <v/>
      </c>
      <c r="AI16" s="34" t="str">
        <f t="shared" si="5"/>
        <v/>
      </c>
      <c r="AJ16" s="34" t="str">
        <f t="shared" si="5"/>
        <v/>
      </c>
      <c r="AK16" s="34" t="str">
        <f t="shared" si="5"/>
        <v/>
      </c>
      <c r="AL16" s="34" t="str">
        <f t="shared" si="5"/>
        <v/>
      </c>
      <c r="AM16" s="34" t="str">
        <f t="shared" si="5"/>
        <v/>
      </c>
      <c r="AN16" s="34" t="str">
        <f t="shared" si="5"/>
        <v/>
      </c>
      <c r="AO16" s="34" t="str">
        <f t="shared" si="5"/>
        <v/>
      </c>
      <c r="AP16" s="34" t="str">
        <f t="shared" si="5"/>
        <v/>
      </c>
      <c r="AQ16" s="34" t="str">
        <f t="shared" si="5"/>
        <v/>
      </c>
      <c r="AR16" s="34" t="str">
        <f t="shared" si="6"/>
        <v/>
      </c>
      <c r="AS16" s="34" t="str">
        <f t="shared" si="6"/>
        <v/>
      </c>
      <c r="AT16" s="34" t="str">
        <f t="shared" si="6"/>
        <v/>
      </c>
      <c r="AU16" s="34" t="str">
        <f t="shared" si="6"/>
        <v/>
      </c>
      <c r="AV16" s="34" t="str">
        <f t="shared" si="6"/>
        <v/>
      </c>
      <c r="AW16" s="34" t="str">
        <f t="shared" si="6"/>
        <v/>
      </c>
      <c r="AX16" s="34" t="str">
        <f t="shared" si="6"/>
        <v/>
      </c>
      <c r="AY16" s="34" t="str">
        <f t="shared" si="6"/>
        <v/>
      </c>
      <c r="AZ16" s="34" t="str">
        <f t="shared" si="6"/>
        <v/>
      </c>
      <c r="BA16" s="34" t="str">
        <f t="shared" si="6"/>
        <v/>
      </c>
      <c r="BB16" s="34" t="str">
        <f t="shared" si="6"/>
        <v/>
      </c>
      <c r="BC16" s="34" t="str">
        <f t="shared" si="6"/>
        <v/>
      </c>
      <c r="BD16" s="34" t="str">
        <f t="shared" si="6"/>
        <v/>
      </c>
      <c r="BE16" s="34" t="str">
        <f t="shared" si="6"/>
        <v/>
      </c>
      <c r="BF16" s="34" t="str">
        <f t="shared" si="6"/>
        <v/>
      </c>
      <c r="BG16" s="34" t="str">
        <f t="shared" si="6"/>
        <v/>
      </c>
      <c r="BH16" s="34" t="str">
        <f t="shared" si="7"/>
        <v/>
      </c>
      <c r="BI16" s="34" t="str">
        <f t="shared" si="7"/>
        <v/>
      </c>
      <c r="BJ16" s="34" t="str">
        <f t="shared" si="7"/>
        <v/>
      </c>
      <c r="BK16" s="34" t="str">
        <f t="shared" si="7"/>
        <v/>
      </c>
      <c r="BL16" s="34" t="str">
        <f t="shared" si="7"/>
        <v/>
      </c>
      <c r="BM16" s="34" t="str">
        <f t="shared" si="7"/>
        <v/>
      </c>
      <c r="BN16" s="34" t="str">
        <f t="shared" si="7"/>
        <v/>
      </c>
      <c r="BO16" s="34" t="str">
        <f t="shared" si="7"/>
        <v/>
      </c>
      <c r="BP16" s="34" t="str">
        <f t="shared" si="7"/>
        <v/>
      </c>
      <c r="BQ16" s="34" t="str">
        <f t="shared" si="7"/>
        <v/>
      </c>
      <c r="BR16" s="34" t="str">
        <f t="shared" si="7"/>
        <v/>
      </c>
      <c r="BS16" s="34" t="str">
        <f t="shared" si="7"/>
        <v/>
      </c>
      <c r="BT16" s="34" t="str">
        <f t="shared" si="7"/>
        <v/>
      </c>
      <c r="BU16" s="34" t="str">
        <f t="shared" si="7"/>
        <v/>
      </c>
      <c r="BV16" s="34" t="str">
        <f t="shared" si="7"/>
        <v/>
      </c>
      <c r="BW16" s="34" t="str">
        <f t="shared" si="7"/>
        <v/>
      </c>
      <c r="BX16" s="35" t="str">
        <f t="shared" si="4"/>
        <v/>
      </c>
    </row>
    <row r="17" spans="1:76" ht="20.100000000000001" customHeight="1" x14ac:dyDescent="0.25">
      <c r="A17" s="20"/>
      <c r="B17" s="25">
        <v>12</v>
      </c>
      <c r="C17" s="25"/>
      <c r="D17" s="25"/>
      <c r="E17" s="25"/>
      <c r="F17" s="26">
        <v>45976</v>
      </c>
      <c r="G17" s="26">
        <v>46003</v>
      </c>
      <c r="H17" s="25"/>
      <c r="I17" s="25" t="s">
        <v>14</v>
      </c>
      <c r="J17" s="27">
        <v>0.25809523809523799</v>
      </c>
      <c r="K17" s="28"/>
      <c r="L17" s="33" t="str">
        <f t="shared" si="2"/>
        <v/>
      </c>
      <c r="M17" s="34" t="str">
        <f t="shared" si="2"/>
        <v/>
      </c>
      <c r="N17" s="34" t="str">
        <f t="shared" si="2"/>
        <v/>
      </c>
      <c r="O17" s="34" t="str">
        <f t="shared" si="2"/>
        <v/>
      </c>
      <c r="P17" s="34" t="str">
        <f t="shared" si="2"/>
        <v/>
      </c>
      <c r="Q17" s="34" t="str">
        <f t="shared" si="2"/>
        <v>u</v>
      </c>
      <c r="R17" s="34" t="str">
        <f t="shared" si="2"/>
        <v/>
      </c>
      <c r="S17" s="34" t="str">
        <f t="shared" si="2"/>
        <v/>
      </c>
      <c r="T17" s="34" t="str">
        <f t="shared" si="2"/>
        <v/>
      </c>
      <c r="U17" s="34" t="str">
        <f t="shared" si="2"/>
        <v/>
      </c>
      <c r="V17" s="34" t="str">
        <f t="shared" si="2"/>
        <v/>
      </c>
      <c r="W17" s="34" t="str">
        <f t="shared" si="2"/>
        <v/>
      </c>
      <c r="X17" s="34" t="str">
        <f t="shared" si="2"/>
        <v/>
      </c>
      <c r="Y17" s="34" t="str">
        <f t="shared" si="2"/>
        <v/>
      </c>
      <c r="Z17" s="34" t="str">
        <f t="shared" si="2"/>
        <v/>
      </c>
      <c r="AA17" s="34" t="str">
        <f t="shared" si="2"/>
        <v/>
      </c>
      <c r="AB17" s="34" t="str">
        <f t="shared" si="5"/>
        <v/>
      </c>
      <c r="AC17" s="34" t="str">
        <f t="shared" si="5"/>
        <v/>
      </c>
      <c r="AD17" s="34" t="str">
        <f t="shared" si="5"/>
        <v/>
      </c>
      <c r="AE17" s="34" t="str">
        <f t="shared" si="5"/>
        <v/>
      </c>
      <c r="AF17" s="34" t="str">
        <f t="shared" si="5"/>
        <v/>
      </c>
      <c r="AG17" s="34" t="str">
        <f t="shared" si="5"/>
        <v/>
      </c>
      <c r="AH17" s="34" t="str">
        <f t="shared" si="5"/>
        <v/>
      </c>
      <c r="AI17" s="34" t="str">
        <f t="shared" si="5"/>
        <v/>
      </c>
      <c r="AJ17" s="34" t="str">
        <f t="shared" si="5"/>
        <v/>
      </c>
      <c r="AK17" s="34" t="str">
        <f t="shared" si="5"/>
        <v/>
      </c>
      <c r="AL17" s="34" t="str">
        <f t="shared" si="5"/>
        <v/>
      </c>
      <c r="AM17" s="34" t="str">
        <f t="shared" si="5"/>
        <v/>
      </c>
      <c r="AN17" s="34" t="str">
        <f t="shared" si="5"/>
        <v/>
      </c>
      <c r="AO17" s="34" t="str">
        <f t="shared" si="5"/>
        <v/>
      </c>
      <c r="AP17" s="34" t="str">
        <f t="shared" si="5"/>
        <v/>
      </c>
      <c r="AQ17" s="34" t="str">
        <f t="shared" si="5"/>
        <v/>
      </c>
      <c r="AR17" s="34" t="str">
        <f t="shared" si="6"/>
        <v/>
      </c>
      <c r="AS17" s="34" t="str">
        <f t="shared" si="6"/>
        <v/>
      </c>
      <c r="AT17" s="34" t="str">
        <f t="shared" si="6"/>
        <v/>
      </c>
      <c r="AU17" s="34" t="str">
        <f t="shared" si="6"/>
        <v/>
      </c>
      <c r="AV17" s="34" t="str">
        <f t="shared" si="6"/>
        <v/>
      </c>
      <c r="AW17" s="34" t="str">
        <f t="shared" si="6"/>
        <v/>
      </c>
      <c r="AX17" s="34" t="str">
        <f t="shared" si="6"/>
        <v/>
      </c>
      <c r="AY17" s="34" t="str">
        <f t="shared" si="6"/>
        <v/>
      </c>
      <c r="AZ17" s="34" t="str">
        <f t="shared" si="6"/>
        <v/>
      </c>
      <c r="BA17" s="34" t="str">
        <f t="shared" si="6"/>
        <v/>
      </c>
      <c r="BB17" s="34" t="str">
        <f t="shared" si="6"/>
        <v/>
      </c>
      <c r="BC17" s="34" t="str">
        <f t="shared" si="6"/>
        <v/>
      </c>
      <c r="BD17" s="34" t="str">
        <f t="shared" si="6"/>
        <v/>
      </c>
      <c r="BE17" s="34" t="str">
        <f t="shared" si="6"/>
        <v/>
      </c>
      <c r="BF17" s="34" t="str">
        <f t="shared" si="6"/>
        <v/>
      </c>
      <c r="BG17" s="34" t="str">
        <f t="shared" si="6"/>
        <v/>
      </c>
      <c r="BH17" s="34" t="str">
        <f t="shared" si="7"/>
        <v/>
      </c>
      <c r="BI17" s="34" t="str">
        <f t="shared" si="7"/>
        <v/>
      </c>
      <c r="BJ17" s="34" t="str">
        <f t="shared" si="7"/>
        <v/>
      </c>
      <c r="BK17" s="34" t="str">
        <f t="shared" si="7"/>
        <v/>
      </c>
      <c r="BL17" s="34" t="str">
        <f t="shared" si="7"/>
        <v/>
      </c>
      <c r="BM17" s="34" t="str">
        <f t="shared" si="7"/>
        <v/>
      </c>
      <c r="BN17" s="34" t="str">
        <f t="shared" si="7"/>
        <v/>
      </c>
      <c r="BO17" s="34" t="str">
        <f t="shared" si="7"/>
        <v/>
      </c>
      <c r="BP17" s="34" t="str">
        <f t="shared" si="7"/>
        <v/>
      </c>
      <c r="BQ17" s="34" t="str">
        <f t="shared" si="7"/>
        <v/>
      </c>
      <c r="BR17" s="34" t="str">
        <f t="shared" si="7"/>
        <v/>
      </c>
      <c r="BS17" s="34" t="str">
        <f t="shared" si="7"/>
        <v/>
      </c>
      <c r="BT17" s="34" t="str">
        <f t="shared" si="7"/>
        <v/>
      </c>
      <c r="BU17" s="34" t="str">
        <f t="shared" si="7"/>
        <v/>
      </c>
      <c r="BV17" s="34" t="str">
        <f t="shared" si="7"/>
        <v/>
      </c>
      <c r="BW17" s="34" t="str">
        <f t="shared" si="7"/>
        <v/>
      </c>
      <c r="BX17" s="35" t="str">
        <f t="shared" si="4"/>
        <v/>
      </c>
    </row>
    <row r="18" spans="1:76" ht="20.100000000000001" customHeight="1" x14ac:dyDescent="0.25">
      <c r="A18" s="20"/>
      <c r="B18" s="25">
        <v>13</v>
      </c>
      <c r="C18" s="25"/>
      <c r="D18" s="25"/>
      <c r="E18" s="25"/>
      <c r="F18" s="26">
        <v>45977</v>
      </c>
      <c r="G18" s="26">
        <v>46004</v>
      </c>
      <c r="H18" s="25"/>
      <c r="I18" s="25" t="s">
        <v>13</v>
      </c>
      <c r="J18" s="27">
        <v>0.242380952380952</v>
      </c>
      <c r="K18" s="28"/>
      <c r="L18" s="33" t="str">
        <f t="shared" si="2"/>
        <v/>
      </c>
      <c r="M18" s="34" t="str">
        <f t="shared" si="2"/>
        <v/>
      </c>
      <c r="N18" s="34" t="str">
        <f t="shared" si="2"/>
        <v/>
      </c>
      <c r="O18" s="34" t="str">
        <f t="shared" si="2"/>
        <v/>
      </c>
      <c r="P18" s="34" t="str">
        <f t="shared" si="2"/>
        <v/>
      </c>
      <c r="Q18" s="34" t="str">
        <f t="shared" si="2"/>
        <v>u</v>
      </c>
      <c r="R18" s="34" t="str">
        <f t="shared" si="2"/>
        <v/>
      </c>
      <c r="S18" s="34" t="str">
        <f t="shared" si="2"/>
        <v/>
      </c>
      <c r="T18" s="34" t="str">
        <f t="shared" si="2"/>
        <v/>
      </c>
      <c r="U18" s="34" t="str">
        <f t="shared" si="2"/>
        <v/>
      </c>
      <c r="V18" s="34" t="str">
        <f t="shared" si="2"/>
        <v/>
      </c>
      <c r="W18" s="34" t="str">
        <f t="shared" si="2"/>
        <v/>
      </c>
      <c r="X18" s="34" t="str">
        <f t="shared" si="2"/>
        <v/>
      </c>
      <c r="Y18" s="34" t="str">
        <f t="shared" si="2"/>
        <v/>
      </c>
      <c r="Z18" s="34" t="str">
        <f t="shared" si="2"/>
        <v/>
      </c>
      <c r="AA18" s="34" t="str">
        <f t="shared" si="2"/>
        <v/>
      </c>
      <c r="AB18" s="34" t="str">
        <f t="shared" si="5"/>
        <v/>
      </c>
      <c r="AC18" s="34" t="str">
        <f t="shared" si="5"/>
        <v/>
      </c>
      <c r="AD18" s="34" t="str">
        <f t="shared" si="5"/>
        <v/>
      </c>
      <c r="AE18" s="34" t="str">
        <f t="shared" si="5"/>
        <v/>
      </c>
      <c r="AF18" s="34" t="str">
        <f t="shared" si="5"/>
        <v/>
      </c>
      <c r="AG18" s="34" t="str">
        <f t="shared" si="5"/>
        <v/>
      </c>
      <c r="AH18" s="34" t="str">
        <f t="shared" si="5"/>
        <v/>
      </c>
      <c r="AI18" s="34" t="str">
        <f t="shared" si="5"/>
        <v/>
      </c>
      <c r="AJ18" s="34" t="str">
        <f t="shared" si="5"/>
        <v/>
      </c>
      <c r="AK18" s="34" t="str">
        <f t="shared" si="5"/>
        <v/>
      </c>
      <c r="AL18" s="34" t="str">
        <f t="shared" si="5"/>
        <v/>
      </c>
      <c r="AM18" s="34" t="str">
        <f t="shared" si="5"/>
        <v/>
      </c>
      <c r="AN18" s="34" t="str">
        <f t="shared" si="5"/>
        <v/>
      </c>
      <c r="AO18" s="34" t="str">
        <f t="shared" si="5"/>
        <v/>
      </c>
      <c r="AP18" s="34" t="str">
        <f t="shared" si="5"/>
        <v/>
      </c>
      <c r="AQ18" s="34" t="str">
        <f t="shared" si="5"/>
        <v/>
      </c>
      <c r="AR18" s="34" t="str">
        <f t="shared" si="6"/>
        <v/>
      </c>
      <c r="AS18" s="34" t="str">
        <f t="shared" si="6"/>
        <v/>
      </c>
      <c r="AT18" s="34" t="str">
        <f t="shared" si="6"/>
        <v/>
      </c>
      <c r="AU18" s="34" t="str">
        <f t="shared" si="6"/>
        <v/>
      </c>
      <c r="AV18" s="34" t="str">
        <f t="shared" si="6"/>
        <v/>
      </c>
      <c r="AW18" s="34" t="str">
        <f t="shared" si="6"/>
        <v/>
      </c>
      <c r="AX18" s="34" t="str">
        <f t="shared" si="6"/>
        <v/>
      </c>
      <c r="AY18" s="34" t="str">
        <f t="shared" si="6"/>
        <v/>
      </c>
      <c r="AZ18" s="34" t="str">
        <f t="shared" si="6"/>
        <v/>
      </c>
      <c r="BA18" s="34" t="str">
        <f t="shared" si="6"/>
        <v/>
      </c>
      <c r="BB18" s="34" t="str">
        <f t="shared" si="6"/>
        <v/>
      </c>
      <c r="BC18" s="34" t="str">
        <f t="shared" si="6"/>
        <v/>
      </c>
      <c r="BD18" s="34" t="str">
        <f t="shared" si="6"/>
        <v/>
      </c>
      <c r="BE18" s="34" t="str">
        <f t="shared" si="6"/>
        <v/>
      </c>
      <c r="BF18" s="34" t="str">
        <f t="shared" si="6"/>
        <v/>
      </c>
      <c r="BG18" s="34" t="str">
        <f t="shared" si="6"/>
        <v/>
      </c>
      <c r="BH18" s="34" t="str">
        <f t="shared" si="7"/>
        <v/>
      </c>
      <c r="BI18" s="34" t="str">
        <f t="shared" si="7"/>
        <v/>
      </c>
      <c r="BJ18" s="34" t="str">
        <f t="shared" si="7"/>
        <v/>
      </c>
      <c r="BK18" s="34" t="str">
        <f t="shared" si="7"/>
        <v/>
      </c>
      <c r="BL18" s="34" t="str">
        <f t="shared" si="7"/>
        <v/>
      </c>
      <c r="BM18" s="34" t="str">
        <f t="shared" si="7"/>
        <v/>
      </c>
      <c r="BN18" s="34" t="str">
        <f t="shared" si="7"/>
        <v/>
      </c>
      <c r="BO18" s="34" t="str">
        <f t="shared" si="7"/>
        <v/>
      </c>
      <c r="BP18" s="34" t="str">
        <f t="shared" si="7"/>
        <v/>
      </c>
      <c r="BQ18" s="34" t="str">
        <f t="shared" si="7"/>
        <v/>
      </c>
      <c r="BR18" s="34" t="str">
        <f t="shared" si="7"/>
        <v/>
      </c>
      <c r="BS18" s="34" t="str">
        <f t="shared" si="7"/>
        <v/>
      </c>
      <c r="BT18" s="34" t="str">
        <f t="shared" si="7"/>
        <v/>
      </c>
      <c r="BU18" s="34" t="str">
        <f t="shared" si="7"/>
        <v/>
      </c>
      <c r="BV18" s="34" t="str">
        <f t="shared" si="7"/>
        <v/>
      </c>
      <c r="BW18" s="34" t="str">
        <f t="shared" si="7"/>
        <v/>
      </c>
      <c r="BX18" s="35" t="str">
        <f t="shared" si="4"/>
        <v/>
      </c>
    </row>
    <row r="19" spans="1:76" ht="20.100000000000001" customHeight="1" x14ac:dyDescent="0.25">
      <c r="A19" s="20"/>
      <c r="B19" s="25">
        <v>14</v>
      </c>
      <c r="C19" s="25"/>
      <c r="D19" s="25"/>
      <c r="E19" s="25"/>
      <c r="F19" s="26">
        <v>45978</v>
      </c>
      <c r="G19" s="26">
        <v>46005</v>
      </c>
      <c r="H19" s="25"/>
      <c r="I19" s="25" t="s">
        <v>15</v>
      </c>
      <c r="J19" s="27">
        <v>0.22666666666666699</v>
      </c>
      <c r="K19" s="28"/>
      <c r="L19" s="33" t="str">
        <f t="shared" si="2"/>
        <v/>
      </c>
      <c r="M19" s="34" t="str">
        <f t="shared" si="2"/>
        <v/>
      </c>
      <c r="N19" s="34" t="str">
        <f t="shared" si="2"/>
        <v/>
      </c>
      <c r="O19" s="34" t="str">
        <f t="shared" si="2"/>
        <v/>
      </c>
      <c r="P19" s="34" t="str">
        <f t="shared" si="2"/>
        <v/>
      </c>
      <c r="Q19" s="34" t="str">
        <f t="shared" si="2"/>
        <v>u</v>
      </c>
      <c r="R19" s="34" t="str">
        <f t="shared" si="2"/>
        <v/>
      </c>
      <c r="S19" s="34" t="str">
        <f t="shared" si="2"/>
        <v/>
      </c>
      <c r="T19" s="34" t="str">
        <f t="shared" si="2"/>
        <v/>
      </c>
      <c r="U19" s="34" t="str">
        <f t="shared" si="2"/>
        <v/>
      </c>
      <c r="V19" s="34" t="str">
        <f t="shared" si="2"/>
        <v/>
      </c>
      <c r="W19" s="34" t="str">
        <f t="shared" si="2"/>
        <v/>
      </c>
      <c r="X19" s="34" t="str">
        <f t="shared" si="2"/>
        <v/>
      </c>
      <c r="Y19" s="34" t="str">
        <f t="shared" si="2"/>
        <v/>
      </c>
      <c r="Z19" s="34" t="str">
        <f t="shared" si="2"/>
        <v/>
      </c>
      <c r="AA19" s="34" t="str">
        <f t="shared" si="2"/>
        <v/>
      </c>
      <c r="AB19" s="34" t="str">
        <f t="shared" si="5"/>
        <v/>
      </c>
      <c r="AC19" s="34" t="str">
        <f t="shared" si="5"/>
        <v/>
      </c>
      <c r="AD19" s="34" t="str">
        <f t="shared" si="5"/>
        <v/>
      </c>
      <c r="AE19" s="34" t="str">
        <f t="shared" si="5"/>
        <v/>
      </c>
      <c r="AF19" s="34" t="str">
        <f t="shared" si="5"/>
        <v/>
      </c>
      <c r="AG19" s="34" t="str">
        <f t="shared" si="5"/>
        <v/>
      </c>
      <c r="AH19" s="34" t="str">
        <f t="shared" si="5"/>
        <v/>
      </c>
      <c r="AI19" s="34" t="str">
        <f t="shared" si="5"/>
        <v/>
      </c>
      <c r="AJ19" s="34" t="str">
        <f t="shared" si="5"/>
        <v/>
      </c>
      <c r="AK19" s="34" t="str">
        <f t="shared" si="5"/>
        <v/>
      </c>
      <c r="AL19" s="34" t="str">
        <f t="shared" si="5"/>
        <v/>
      </c>
      <c r="AM19" s="34" t="str">
        <f t="shared" si="5"/>
        <v/>
      </c>
      <c r="AN19" s="34" t="str">
        <f t="shared" si="5"/>
        <v/>
      </c>
      <c r="AO19" s="34" t="str">
        <f t="shared" si="5"/>
        <v/>
      </c>
      <c r="AP19" s="34" t="str">
        <f t="shared" si="5"/>
        <v/>
      </c>
      <c r="AQ19" s="34" t="str">
        <f t="shared" si="5"/>
        <v/>
      </c>
      <c r="AR19" s="34" t="str">
        <f t="shared" si="6"/>
        <v/>
      </c>
      <c r="AS19" s="34" t="str">
        <f t="shared" si="6"/>
        <v/>
      </c>
      <c r="AT19" s="34" t="str">
        <f t="shared" si="6"/>
        <v/>
      </c>
      <c r="AU19" s="34" t="str">
        <f t="shared" si="6"/>
        <v/>
      </c>
      <c r="AV19" s="34" t="str">
        <f t="shared" si="6"/>
        <v/>
      </c>
      <c r="AW19" s="34" t="str">
        <f t="shared" si="6"/>
        <v/>
      </c>
      <c r="AX19" s="34" t="str">
        <f t="shared" si="6"/>
        <v/>
      </c>
      <c r="AY19" s="34" t="str">
        <f t="shared" si="6"/>
        <v/>
      </c>
      <c r="AZ19" s="34" t="str">
        <f t="shared" si="6"/>
        <v/>
      </c>
      <c r="BA19" s="34" t="str">
        <f t="shared" si="6"/>
        <v/>
      </c>
      <c r="BB19" s="34" t="str">
        <f t="shared" si="6"/>
        <v/>
      </c>
      <c r="BC19" s="34" t="str">
        <f t="shared" si="6"/>
        <v/>
      </c>
      <c r="BD19" s="34" t="str">
        <f t="shared" si="6"/>
        <v/>
      </c>
      <c r="BE19" s="34" t="str">
        <f t="shared" si="6"/>
        <v/>
      </c>
      <c r="BF19" s="34" t="str">
        <f t="shared" si="6"/>
        <v/>
      </c>
      <c r="BG19" s="34" t="str">
        <f t="shared" si="6"/>
        <v/>
      </c>
      <c r="BH19" s="34" t="str">
        <f t="shared" si="7"/>
        <v/>
      </c>
      <c r="BI19" s="34" t="str">
        <f t="shared" si="7"/>
        <v/>
      </c>
      <c r="BJ19" s="34" t="str">
        <f t="shared" si="7"/>
        <v/>
      </c>
      <c r="BK19" s="34" t="str">
        <f t="shared" si="7"/>
        <v/>
      </c>
      <c r="BL19" s="34" t="str">
        <f t="shared" si="7"/>
        <v/>
      </c>
      <c r="BM19" s="34" t="str">
        <f t="shared" si="7"/>
        <v/>
      </c>
      <c r="BN19" s="34" t="str">
        <f t="shared" si="7"/>
        <v/>
      </c>
      <c r="BO19" s="34" t="str">
        <f t="shared" si="7"/>
        <v/>
      </c>
      <c r="BP19" s="34" t="str">
        <f t="shared" si="7"/>
        <v/>
      </c>
      <c r="BQ19" s="34" t="str">
        <f t="shared" si="7"/>
        <v/>
      </c>
      <c r="BR19" s="34" t="str">
        <f t="shared" si="7"/>
        <v/>
      </c>
      <c r="BS19" s="34" t="str">
        <f t="shared" si="7"/>
        <v/>
      </c>
      <c r="BT19" s="34" t="str">
        <f t="shared" si="7"/>
        <v/>
      </c>
      <c r="BU19" s="34" t="str">
        <f t="shared" si="7"/>
        <v/>
      </c>
      <c r="BV19" s="34" t="str">
        <f t="shared" si="7"/>
        <v/>
      </c>
      <c r="BW19" s="34" t="str">
        <f t="shared" si="7"/>
        <v/>
      </c>
      <c r="BX19" s="35" t="str">
        <f t="shared" si="4"/>
        <v/>
      </c>
    </row>
    <row r="20" spans="1:76" ht="20.100000000000001" customHeight="1" x14ac:dyDescent="0.25">
      <c r="A20" s="20"/>
      <c r="B20" s="25">
        <v>15</v>
      </c>
      <c r="C20" s="25"/>
      <c r="D20" s="25"/>
      <c r="E20" s="25"/>
      <c r="F20" s="26">
        <v>45979</v>
      </c>
      <c r="G20" s="26">
        <v>46006</v>
      </c>
      <c r="H20" s="25"/>
      <c r="I20" s="25" t="s">
        <v>16</v>
      </c>
      <c r="J20" s="27">
        <v>0.210952380952381</v>
      </c>
      <c r="K20" s="28"/>
      <c r="L20" s="33" t="str">
        <f t="shared" si="2"/>
        <v/>
      </c>
      <c r="M20" s="34" t="str">
        <f t="shared" si="2"/>
        <v/>
      </c>
      <c r="N20" s="34" t="str">
        <f t="shared" si="2"/>
        <v/>
      </c>
      <c r="O20" s="34" t="str">
        <f t="shared" si="2"/>
        <v/>
      </c>
      <c r="P20" s="34" t="str">
        <f t="shared" si="2"/>
        <v/>
      </c>
      <c r="Q20" s="34" t="str">
        <f t="shared" si="2"/>
        <v/>
      </c>
      <c r="R20" s="34" t="str">
        <f t="shared" si="2"/>
        <v>u</v>
      </c>
      <c r="S20" s="34" t="str">
        <f t="shared" si="2"/>
        <v/>
      </c>
      <c r="T20" s="34" t="str">
        <f t="shared" si="2"/>
        <v/>
      </c>
      <c r="U20" s="34" t="str">
        <f t="shared" si="2"/>
        <v/>
      </c>
      <c r="V20" s="34" t="str">
        <f t="shared" si="2"/>
        <v/>
      </c>
      <c r="W20" s="34" t="str">
        <f t="shared" si="2"/>
        <v/>
      </c>
      <c r="X20" s="34" t="str">
        <f t="shared" si="2"/>
        <v/>
      </c>
      <c r="Y20" s="34" t="str">
        <f t="shared" si="2"/>
        <v/>
      </c>
      <c r="Z20" s="34" t="str">
        <f t="shared" si="2"/>
        <v/>
      </c>
      <c r="AA20" s="34" t="str">
        <f t="shared" si="2"/>
        <v/>
      </c>
      <c r="AB20" s="34" t="str">
        <f t="shared" si="5"/>
        <v/>
      </c>
      <c r="AC20" s="34" t="str">
        <f t="shared" si="5"/>
        <v/>
      </c>
      <c r="AD20" s="34" t="str">
        <f t="shared" si="5"/>
        <v/>
      </c>
      <c r="AE20" s="34" t="str">
        <f t="shared" si="5"/>
        <v/>
      </c>
      <c r="AF20" s="34" t="str">
        <f t="shared" si="5"/>
        <v/>
      </c>
      <c r="AG20" s="34" t="str">
        <f t="shared" si="5"/>
        <v/>
      </c>
      <c r="AH20" s="34" t="str">
        <f t="shared" si="5"/>
        <v/>
      </c>
      <c r="AI20" s="34" t="str">
        <f t="shared" si="5"/>
        <v/>
      </c>
      <c r="AJ20" s="34" t="str">
        <f t="shared" si="5"/>
        <v/>
      </c>
      <c r="AK20" s="34" t="str">
        <f t="shared" si="5"/>
        <v/>
      </c>
      <c r="AL20" s="34" t="str">
        <f t="shared" si="5"/>
        <v/>
      </c>
      <c r="AM20" s="34" t="str">
        <f t="shared" si="5"/>
        <v/>
      </c>
      <c r="AN20" s="34" t="str">
        <f t="shared" si="5"/>
        <v/>
      </c>
      <c r="AO20" s="34" t="str">
        <f t="shared" si="5"/>
        <v/>
      </c>
      <c r="AP20" s="34" t="str">
        <f t="shared" si="5"/>
        <v/>
      </c>
      <c r="AQ20" s="34" t="str">
        <f t="shared" si="5"/>
        <v/>
      </c>
      <c r="AR20" s="34" t="str">
        <f t="shared" si="6"/>
        <v/>
      </c>
      <c r="AS20" s="34" t="str">
        <f t="shared" si="6"/>
        <v/>
      </c>
      <c r="AT20" s="34" t="str">
        <f t="shared" si="6"/>
        <v/>
      </c>
      <c r="AU20" s="34" t="str">
        <f t="shared" si="6"/>
        <v/>
      </c>
      <c r="AV20" s="34" t="str">
        <f t="shared" si="6"/>
        <v/>
      </c>
      <c r="AW20" s="34" t="str">
        <f t="shared" si="6"/>
        <v/>
      </c>
      <c r="AX20" s="34" t="str">
        <f t="shared" si="6"/>
        <v/>
      </c>
      <c r="AY20" s="34" t="str">
        <f t="shared" si="6"/>
        <v/>
      </c>
      <c r="AZ20" s="34" t="str">
        <f t="shared" si="6"/>
        <v/>
      </c>
      <c r="BA20" s="34" t="str">
        <f t="shared" si="6"/>
        <v/>
      </c>
      <c r="BB20" s="34" t="str">
        <f t="shared" si="6"/>
        <v/>
      </c>
      <c r="BC20" s="34" t="str">
        <f t="shared" si="6"/>
        <v/>
      </c>
      <c r="BD20" s="34" t="str">
        <f t="shared" si="6"/>
        <v/>
      </c>
      <c r="BE20" s="34" t="str">
        <f t="shared" si="6"/>
        <v/>
      </c>
      <c r="BF20" s="34" t="str">
        <f t="shared" si="6"/>
        <v/>
      </c>
      <c r="BG20" s="34" t="str">
        <f t="shared" si="6"/>
        <v/>
      </c>
      <c r="BH20" s="34" t="str">
        <f t="shared" si="7"/>
        <v/>
      </c>
      <c r="BI20" s="34" t="str">
        <f t="shared" si="7"/>
        <v/>
      </c>
      <c r="BJ20" s="34" t="str">
        <f t="shared" si="7"/>
        <v/>
      </c>
      <c r="BK20" s="34" t="str">
        <f t="shared" si="7"/>
        <v/>
      </c>
      <c r="BL20" s="34" t="str">
        <f t="shared" si="7"/>
        <v/>
      </c>
      <c r="BM20" s="34" t="str">
        <f t="shared" si="7"/>
        <v/>
      </c>
      <c r="BN20" s="34" t="str">
        <f t="shared" si="7"/>
        <v/>
      </c>
      <c r="BO20" s="34" t="str">
        <f t="shared" si="7"/>
        <v/>
      </c>
      <c r="BP20" s="34" t="str">
        <f t="shared" si="7"/>
        <v/>
      </c>
      <c r="BQ20" s="34" t="str">
        <f t="shared" si="7"/>
        <v/>
      </c>
      <c r="BR20" s="34" t="str">
        <f t="shared" si="7"/>
        <v/>
      </c>
      <c r="BS20" s="34" t="str">
        <f t="shared" si="7"/>
        <v/>
      </c>
      <c r="BT20" s="34" t="str">
        <f t="shared" si="7"/>
        <v/>
      </c>
      <c r="BU20" s="34" t="str">
        <f t="shared" si="7"/>
        <v/>
      </c>
      <c r="BV20" s="34" t="str">
        <f t="shared" si="7"/>
        <v/>
      </c>
      <c r="BW20" s="34" t="str">
        <f t="shared" si="7"/>
        <v/>
      </c>
      <c r="BX20" s="35" t="str">
        <f t="shared" si="4"/>
        <v/>
      </c>
    </row>
    <row r="21" spans="1:76" ht="20.100000000000001" customHeight="1" x14ac:dyDescent="0.25">
      <c r="A21" s="20"/>
      <c r="B21" s="25">
        <v>16</v>
      </c>
      <c r="C21" s="25"/>
      <c r="D21" s="25"/>
      <c r="E21" s="25"/>
      <c r="F21" s="26">
        <v>45980</v>
      </c>
      <c r="G21" s="26">
        <v>46007</v>
      </c>
      <c r="H21" s="25"/>
      <c r="I21" s="25" t="s">
        <v>14</v>
      </c>
      <c r="J21" s="27">
        <v>0.19523809523809499</v>
      </c>
      <c r="K21" s="28"/>
      <c r="L21" s="33" t="str">
        <f t="shared" si="2"/>
        <v/>
      </c>
      <c r="M21" s="34" t="str">
        <f t="shared" si="2"/>
        <v/>
      </c>
      <c r="N21" s="34" t="str">
        <f t="shared" si="2"/>
        <v/>
      </c>
      <c r="O21" s="34" t="str">
        <f t="shared" si="2"/>
        <v/>
      </c>
      <c r="P21" s="34" t="str">
        <f t="shared" si="2"/>
        <v/>
      </c>
      <c r="Q21" s="34" t="str">
        <f t="shared" si="2"/>
        <v/>
      </c>
      <c r="R21" s="34" t="str">
        <f t="shared" si="2"/>
        <v>u</v>
      </c>
      <c r="S21" s="34" t="str">
        <f t="shared" si="2"/>
        <v/>
      </c>
      <c r="T21" s="34" t="str">
        <f t="shared" si="2"/>
        <v/>
      </c>
      <c r="U21" s="34" t="str">
        <f t="shared" si="2"/>
        <v/>
      </c>
      <c r="V21" s="34" t="str">
        <f t="shared" si="2"/>
        <v/>
      </c>
      <c r="W21" s="34" t="str">
        <f t="shared" si="2"/>
        <v/>
      </c>
      <c r="X21" s="34" t="str">
        <f t="shared" si="2"/>
        <v/>
      </c>
      <c r="Y21" s="34" t="str">
        <f t="shared" si="2"/>
        <v/>
      </c>
      <c r="Z21" s="34" t="str">
        <f t="shared" si="2"/>
        <v/>
      </c>
      <c r="AA21" s="34" t="str">
        <f t="shared" si="2"/>
        <v/>
      </c>
      <c r="AB21" s="34" t="str">
        <f t="shared" si="5"/>
        <v/>
      </c>
      <c r="AC21" s="34" t="str">
        <f t="shared" si="5"/>
        <v/>
      </c>
      <c r="AD21" s="34" t="str">
        <f t="shared" si="5"/>
        <v/>
      </c>
      <c r="AE21" s="34" t="str">
        <f t="shared" si="5"/>
        <v/>
      </c>
      <c r="AF21" s="34" t="str">
        <f t="shared" si="5"/>
        <v/>
      </c>
      <c r="AG21" s="34" t="str">
        <f t="shared" si="5"/>
        <v/>
      </c>
      <c r="AH21" s="34" t="str">
        <f t="shared" si="5"/>
        <v/>
      </c>
      <c r="AI21" s="34" t="str">
        <f t="shared" si="5"/>
        <v/>
      </c>
      <c r="AJ21" s="34" t="str">
        <f t="shared" si="5"/>
        <v/>
      </c>
      <c r="AK21" s="34" t="str">
        <f t="shared" si="5"/>
        <v/>
      </c>
      <c r="AL21" s="34" t="str">
        <f t="shared" si="5"/>
        <v/>
      </c>
      <c r="AM21" s="34" t="str">
        <f t="shared" si="5"/>
        <v/>
      </c>
      <c r="AN21" s="34" t="str">
        <f t="shared" si="5"/>
        <v/>
      </c>
      <c r="AO21" s="34" t="str">
        <f t="shared" si="5"/>
        <v/>
      </c>
      <c r="AP21" s="34" t="str">
        <f t="shared" si="5"/>
        <v/>
      </c>
      <c r="AQ21" s="34" t="str">
        <f t="shared" si="5"/>
        <v/>
      </c>
      <c r="AR21" s="34" t="str">
        <f t="shared" si="6"/>
        <v/>
      </c>
      <c r="AS21" s="34" t="str">
        <f t="shared" si="6"/>
        <v/>
      </c>
      <c r="AT21" s="34" t="str">
        <f t="shared" si="6"/>
        <v/>
      </c>
      <c r="AU21" s="34" t="str">
        <f t="shared" si="6"/>
        <v/>
      </c>
      <c r="AV21" s="34" t="str">
        <f t="shared" si="6"/>
        <v/>
      </c>
      <c r="AW21" s="34" t="str">
        <f t="shared" si="6"/>
        <v/>
      </c>
      <c r="AX21" s="34" t="str">
        <f t="shared" si="6"/>
        <v/>
      </c>
      <c r="AY21" s="34" t="str">
        <f t="shared" si="6"/>
        <v/>
      </c>
      <c r="AZ21" s="34" t="str">
        <f t="shared" si="6"/>
        <v/>
      </c>
      <c r="BA21" s="34" t="str">
        <f t="shared" si="6"/>
        <v/>
      </c>
      <c r="BB21" s="34" t="str">
        <f t="shared" si="6"/>
        <v/>
      </c>
      <c r="BC21" s="34" t="str">
        <f t="shared" si="6"/>
        <v/>
      </c>
      <c r="BD21" s="34" t="str">
        <f t="shared" si="6"/>
        <v/>
      </c>
      <c r="BE21" s="34" t="str">
        <f t="shared" si="6"/>
        <v/>
      </c>
      <c r="BF21" s="34" t="str">
        <f t="shared" si="6"/>
        <v/>
      </c>
      <c r="BG21" s="34" t="str">
        <f t="shared" si="6"/>
        <v/>
      </c>
      <c r="BH21" s="34" t="str">
        <f t="shared" si="7"/>
        <v/>
      </c>
      <c r="BI21" s="34" t="str">
        <f t="shared" si="7"/>
        <v/>
      </c>
      <c r="BJ21" s="34" t="str">
        <f t="shared" si="7"/>
        <v/>
      </c>
      <c r="BK21" s="34" t="str">
        <f t="shared" si="7"/>
        <v/>
      </c>
      <c r="BL21" s="34" t="str">
        <f t="shared" si="7"/>
        <v/>
      </c>
      <c r="BM21" s="34" t="str">
        <f t="shared" si="7"/>
        <v/>
      </c>
      <c r="BN21" s="34" t="str">
        <f t="shared" si="7"/>
        <v/>
      </c>
      <c r="BO21" s="34" t="str">
        <f t="shared" si="7"/>
        <v/>
      </c>
      <c r="BP21" s="34" t="str">
        <f t="shared" si="7"/>
        <v/>
      </c>
      <c r="BQ21" s="34" t="str">
        <f t="shared" si="7"/>
        <v/>
      </c>
      <c r="BR21" s="34" t="str">
        <f t="shared" si="7"/>
        <v/>
      </c>
      <c r="BS21" s="34" t="str">
        <f t="shared" si="7"/>
        <v/>
      </c>
      <c r="BT21" s="34" t="str">
        <f t="shared" si="7"/>
        <v/>
      </c>
      <c r="BU21" s="34" t="str">
        <f t="shared" si="7"/>
        <v/>
      </c>
      <c r="BV21" s="34" t="str">
        <f t="shared" si="7"/>
        <v/>
      </c>
      <c r="BW21" s="34" t="str">
        <f t="shared" si="7"/>
        <v/>
      </c>
      <c r="BX21" s="35" t="str">
        <f t="shared" si="4"/>
        <v/>
      </c>
    </row>
    <row r="22" spans="1:76" ht="20.100000000000001" customHeight="1" x14ac:dyDescent="0.25">
      <c r="A22" s="20"/>
      <c r="B22" s="25">
        <v>17</v>
      </c>
      <c r="C22" s="25"/>
      <c r="D22" s="25"/>
      <c r="E22" s="25"/>
      <c r="F22" s="26">
        <v>45981</v>
      </c>
      <c r="G22" s="26">
        <v>46008</v>
      </c>
      <c r="H22" s="25"/>
      <c r="I22" s="25" t="s">
        <v>13</v>
      </c>
      <c r="J22" s="27">
        <v>0.179523809523809</v>
      </c>
      <c r="K22" s="28"/>
      <c r="L22" s="33" t="str">
        <f t="shared" si="2"/>
        <v/>
      </c>
      <c r="M22" s="34" t="str">
        <f t="shared" si="2"/>
        <v/>
      </c>
      <c r="N22" s="34" t="str">
        <f t="shared" si="2"/>
        <v/>
      </c>
      <c r="O22" s="34" t="str">
        <f t="shared" si="2"/>
        <v/>
      </c>
      <c r="P22" s="34" t="str">
        <f t="shared" si="2"/>
        <v/>
      </c>
      <c r="Q22" s="34" t="str">
        <f t="shared" si="2"/>
        <v/>
      </c>
      <c r="R22" s="34" t="str">
        <f t="shared" si="2"/>
        <v>u</v>
      </c>
      <c r="S22" s="34" t="str">
        <f t="shared" si="2"/>
        <v/>
      </c>
      <c r="T22" s="34" t="str">
        <f t="shared" si="2"/>
        <v/>
      </c>
      <c r="U22" s="34" t="str">
        <f t="shared" si="2"/>
        <v/>
      </c>
      <c r="V22" s="34" t="str">
        <f t="shared" si="2"/>
        <v/>
      </c>
      <c r="W22" s="34" t="str">
        <f t="shared" si="2"/>
        <v/>
      </c>
      <c r="X22" s="34" t="str">
        <f t="shared" si="2"/>
        <v/>
      </c>
      <c r="Y22" s="34" t="str">
        <f t="shared" si="2"/>
        <v/>
      </c>
      <c r="Z22" s="34" t="str">
        <f t="shared" si="2"/>
        <v/>
      </c>
      <c r="AA22" s="34" t="str">
        <f t="shared" si="2"/>
        <v/>
      </c>
      <c r="AB22" s="34" t="str">
        <f t="shared" si="5"/>
        <v/>
      </c>
      <c r="AC22" s="34" t="str">
        <f t="shared" si="5"/>
        <v/>
      </c>
      <c r="AD22" s="34" t="str">
        <f t="shared" si="5"/>
        <v/>
      </c>
      <c r="AE22" s="34" t="str">
        <f t="shared" si="5"/>
        <v/>
      </c>
      <c r="AF22" s="34" t="str">
        <f t="shared" si="5"/>
        <v/>
      </c>
      <c r="AG22" s="34" t="str">
        <f t="shared" si="5"/>
        <v/>
      </c>
      <c r="AH22" s="34" t="str">
        <f t="shared" si="5"/>
        <v/>
      </c>
      <c r="AI22" s="34" t="str">
        <f t="shared" si="5"/>
        <v/>
      </c>
      <c r="AJ22" s="34" t="str">
        <f t="shared" si="5"/>
        <v/>
      </c>
      <c r="AK22" s="34" t="str">
        <f t="shared" si="5"/>
        <v/>
      </c>
      <c r="AL22" s="34" t="str">
        <f t="shared" si="5"/>
        <v/>
      </c>
      <c r="AM22" s="34" t="str">
        <f t="shared" si="5"/>
        <v/>
      </c>
      <c r="AN22" s="34" t="str">
        <f t="shared" si="5"/>
        <v/>
      </c>
      <c r="AO22" s="34" t="str">
        <f t="shared" si="5"/>
        <v/>
      </c>
      <c r="AP22" s="34" t="str">
        <f t="shared" si="5"/>
        <v/>
      </c>
      <c r="AQ22" s="34" t="str">
        <f t="shared" si="5"/>
        <v/>
      </c>
      <c r="AR22" s="34" t="str">
        <f t="shared" si="6"/>
        <v/>
      </c>
      <c r="AS22" s="34" t="str">
        <f t="shared" si="6"/>
        <v/>
      </c>
      <c r="AT22" s="34" t="str">
        <f t="shared" si="6"/>
        <v/>
      </c>
      <c r="AU22" s="34" t="str">
        <f t="shared" si="6"/>
        <v/>
      </c>
      <c r="AV22" s="34" t="str">
        <f t="shared" si="6"/>
        <v/>
      </c>
      <c r="AW22" s="34" t="str">
        <f t="shared" si="6"/>
        <v/>
      </c>
      <c r="AX22" s="34" t="str">
        <f t="shared" si="6"/>
        <v/>
      </c>
      <c r="AY22" s="34" t="str">
        <f t="shared" si="6"/>
        <v/>
      </c>
      <c r="AZ22" s="34" t="str">
        <f t="shared" si="6"/>
        <v/>
      </c>
      <c r="BA22" s="34" t="str">
        <f t="shared" si="6"/>
        <v/>
      </c>
      <c r="BB22" s="34" t="str">
        <f t="shared" si="6"/>
        <v/>
      </c>
      <c r="BC22" s="34" t="str">
        <f t="shared" si="6"/>
        <v/>
      </c>
      <c r="BD22" s="34" t="str">
        <f t="shared" si="6"/>
        <v/>
      </c>
      <c r="BE22" s="34" t="str">
        <f t="shared" si="6"/>
        <v/>
      </c>
      <c r="BF22" s="34" t="str">
        <f t="shared" si="6"/>
        <v/>
      </c>
      <c r="BG22" s="34" t="str">
        <f t="shared" si="6"/>
        <v/>
      </c>
      <c r="BH22" s="34" t="str">
        <f t="shared" si="7"/>
        <v/>
      </c>
      <c r="BI22" s="34" t="str">
        <f t="shared" si="7"/>
        <v/>
      </c>
      <c r="BJ22" s="34" t="str">
        <f t="shared" si="7"/>
        <v/>
      </c>
      <c r="BK22" s="34" t="str">
        <f t="shared" si="7"/>
        <v/>
      </c>
      <c r="BL22" s="34" t="str">
        <f t="shared" si="7"/>
        <v/>
      </c>
      <c r="BM22" s="34" t="str">
        <f t="shared" si="7"/>
        <v/>
      </c>
      <c r="BN22" s="34" t="str">
        <f t="shared" si="7"/>
        <v/>
      </c>
      <c r="BO22" s="34" t="str">
        <f t="shared" si="7"/>
        <v/>
      </c>
      <c r="BP22" s="34" t="str">
        <f t="shared" si="7"/>
        <v/>
      </c>
      <c r="BQ22" s="34" t="str">
        <f t="shared" si="7"/>
        <v/>
      </c>
      <c r="BR22" s="34" t="str">
        <f t="shared" si="7"/>
        <v/>
      </c>
      <c r="BS22" s="34" t="str">
        <f t="shared" si="7"/>
        <v/>
      </c>
      <c r="BT22" s="34" t="str">
        <f t="shared" si="7"/>
        <v/>
      </c>
      <c r="BU22" s="34" t="str">
        <f t="shared" si="7"/>
        <v/>
      </c>
      <c r="BV22" s="34" t="str">
        <f t="shared" si="7"/>
        <v/>
      </c>
      <c r="BW22" s="34" t="str">
        <f t="shared" si="7"/>
        <v/>
      </c>
      <c r="BX22" s="35" t="str">
        <f t="shared" si="4"/>
        <v/>
      </c>
    </row>
    <row r="23" spans="1:76" ht="20.100000000000001" customHeight="1" x14ac:dyDescent="0.25">
      <c r="A23" s="20"/>
      <c r="B23" s="25">
        <v>18</v>
      </c>
      <c r="C23" s="25"/>
      <c r="D23" s="25"/>
      <c r="E23" s="25"/>
      <c r="F23" s="26">
        <v>45982</v>
      </c>
      <c r="G23" s="26">
        <v>46009</v>
      </c>
      <c r="H23" s="25"/>
      <c r="I23" s="25" t="s">
        <v>15</v>
      </c>
      <c r="J23" s="27">
        <v>0.16380952380952399</v>
      </c>
      <c r="K23" s="28"/>
      <c r="L23" s="33" t="str">
        <f t="shared" si="2"/>
        <v/>
      </c>
      <c r="M23" s="34" t="str">
        <f t="shared" si="2"/>
        <v/>
      </c>
      <c r="N23" s="34" t="str">
        <f t="shared" si="2"/>
        <v/>
      </c>
      <c r="O23" s="34" t="str">
        <f t="shared" si="2"/>
        <v/>
      </c>
      <c r="P23" s="34" t="str">
        <f t="shared" si="2"/>
        <v/>
      </c>
      <c r="Q23" s="34" t="str">
        <f t="shared" si="2"/>
        <v/>
      </c>
      <c r="R23" s="34" t="str">
        <f t="shared" si="2"/>
        <v>u</v>
      </c>
      <c r="S23" s="34" t="str">
        <f t="shared" si="2"/>
        <v/>
      </c>
      <c r="T23" s="34" t="str">
        <f t="shared" si="2"/>
        <v/>
      </c>
      <c r="U23" s="34" t="str">
        <f t="shared" si="2"/>
        <v/>
      </c>
      <c r="V23" s="34" t="str">
        <f t="shared" si="2"/>
        <v/>
      </c>
      <c r="W23" s="34" t="str">
        <f t="shared" si="2"/>
        <v/>
      </c>
      <c r="X23" s="34" t="str">
        <f t="shared" si="2"/>
        <v/>
      </c>
      <c r="Y23" s="34" t="str">
        <f t="shared" si="2"/>
        <v/>
      </c>
      <c r="Z23" s="34" t="str">
        <f t="shared" si="2"/>
        <v/>
      </c>
      <c r="AA23" s="34" t="str">
        <f t="shared" si="2"/>
        <v/>
      </c>
      <c r="AB23" s="34" t="str">
        <f t="shared" si="5"/>
        <v/>
      </c>
      <c r="AC23" s="34" t="str">
        <f t="shared" si="5"/>
        <v/>
      </c>
      <c r="AD23" s="34" t="str">
        <f t="shared" si="5"/>
        <v/>
      </c>
      <c r="AE23" s="34" t="str">
        <f t="shared" si="5"/>
        <v/>
      </c>
      <c r="AF23" s="34" t="str">
        <f t="shared" si="5"/>
        <v/>
      </c>
      <c r="AG23" s="34" t="str">
        <f t="shared" si="5"/>
        <v/>
      </c>
      <c r="AH23" s="34" t="str">
        <f t="shared" si="5"/>
        <v/>
      </c>
      <c r="AI23" s="34" t="str">
        <f t="shared" si="5"/>
        <v/>
      </c>
      <c r="AJ23" s="34" t="str">
        <f t="shared" si="5"/>
        <v/>
      </c>
      <c r="AK23" s="34" t="str">
        <f t="shared" si="5"/>
        <v/>
      </c>
      <c r="AL23" s="34" t="str">
        <f t="shared" si="5"/>
        <v/>
      </c>
      <c r="AM23" s="34" t="str">
        <f t="shared" si="5"/>
        <v/>
      </c>
      <c r="AN23" s="34" t="str">
        <f t="shared" si="5"/>
        <v/>
      </c>
      <c r="AO23" s="34" t="str">
        <f t="shared" si="5"/>
        <v/>
      </c>
      <c r="AP23" s="34" t="str">
        <f t="shared" si="5"/>
        <v/>
      </c>
      <c r="AQ23" s="34" t="str">
        <f t="shared" si="5"/>
        <v/>
      </c>
      <c r="AR23" s="34" t="str">
        <f t="shared" si="6"/>
        <v/>
      </c>
      <c r="AS23" s="34" t="str">
        <f t="shared" si="6"/>
        <v/>
      </c>
      <c r="AT23" s="34" t="str">
        <f t="shared" si="6"/>
        <v/>
      </c>
      <c r="AU23" s="34" t="str">
        <f t="shared" si="6"/>
        <v/>
      </c>
      <c r="AV23" s="34" t="str">
        <f t="shared" si="6"/>
        <v/>
      </c>
      <c r="AW23" s="34" t="str">
        <f t="shared" si="6"/>
        <v/>
      </c>
      <c r="AX23" s="34" t="str">
        <f t="shared" si="6"/>
        <v/>
      </c>
      <c r="AY23" s="34" t="str">
        <f t="shared" si="6"/>
        <v/>
      </c>
      <c r="AZ23" s="34" t="str">
        <f t="shared" si="6"/>
        <v/>
      </c>
      <c r="BA23" s="34" t="str">
        <f t="shared" si="6"/>
        <v/>
      </c>
      <c r="BB23" s="34" t="str">
        <f t="shared" si="6"/>
        <v/>
      </c>
      <c r="BC23" s="34" t="str">
        <f t="shared" si="6"/>
        <v/>
      </c>
      <c r="BD23" s="34" t="str">
        <f t="shared" si="6"/>
        <v/>
      </c>
      <c r="BE23" s="34" t="str">
        <f t="shared" si="6"/>
        <v/>
      </c>
      <c r="BF23" s="34" t="str">
        <f t="shared" si="6"/>
        <v/>
      </c>
      <c r="BG23" s="34" t="str">
        <f t="shared" si="6"/>
        <v/>
      </c>
      <c r="BH23" s="34" t="str">
        <f t="shared" si="7"/>
        <v/>
      </c>
      <c r="BI23" s="34" t="str">
        <f t="shared" si="7"/>
        <v/>
      </c>
      <c r="BJ23" s="34" t="str">
        <f t="shared" si="7"/>
        <v/>
      </c>
      <c r="BK23" s="34" t="str">
        <f t="shared" si="7"/>
        <v/>
      </c>
      <c r="BL23" s="34" t="str">
        <f t="shared" si="7"/>
        <v/>
      </c>
      <c r="BM23" s="34" t="str">
        <f t="shared" si="7"/>
        <v/>
      </c>
      <c r="BN23" s="34" t="str">
        <f t="shared" si="7"/>
        <v/>
      </c>
      <c r="BO23" s="34" t="str">
        <f t="shared" si="7"/>
        <v/>
      </c>
      <c r="BP23" s="34" t="str">
        <f t="shared" si="7"/>
        <v/>
      </c>
      <c r="BQ23" s="34" t="str">
        <f t="shared" si="7"/>
        <v/>
      </c>
      <c r="BR23" s="34" t="str">
        <f t="shared" si="7"/>
        <v/>
      </c>
      <c r="BS23" s="34" t="str">
        <f t="shared" si="7"/>
        <v/>
      </c>
      <c r="BT23" s="34" t="str">
        <f t="shared" si="7"/>
        <v/>
      </c>
      <c r="BU23" s="34" t="str">
        <f t="shared" si="7"/>
        <v/>
      </c>
      <c r="BV23" s="34" t="str">
        <f t="shared" si="7"/>
        <v/>
      </c>
      <c r="BW23" s="34" t="str">
        <f t="shared" si="7"/>
        <v/>
      </c>
      <c r="BX23" s="35" t="str">
        <f t="shared" si="4"/>
        <v/>
      </c>
    </row>
    <row r="24" spans="1:76" ht="20.100000000000001" customHeight="1" x14ac:dyDescent="0.25">
      <c r="A24" s="20"/>
      <c r="B24" s="59">
        <v>19</v>
      </c>
      <c r="C24" s="59"/>
      <c r="D24" s="59"/>
      <c r="E24" s="59"/>
      <c r="F24" s="26">
        <v>45983</v>
      </c>
      <c r="G24" s="26">
        <v>46010</v>
      </c>
      <c r="H24" s="59"/>
      <c r="I24" s="59" t="s">
        <v>16</v>
      </c>
      <c r="J24" s="60">
        <v>0.148095238095238</v>
      </c>
      <c r="K24" s="29"/>
      <c r="L24" s="36" t="str">
        <f t="shared" si="2"/>
        <v/>
      </c>
      <c r="M24" s="37" t="str">
        <f t="shared" si="2"/>
        <v/>
      </c>
      <c r="N24" s="37" t="str">
        <f t="shared" si="2"/>
        <v/>
      </c>
      <c r="O24" s="37" t="str">
        <f t="shared" si="2"/>
        <v/>
      </c>
      <c r="P24" s="37" t="str">
        <f t="shared" si="2"/>
        <v/>
      </c>
      <c r="Q24" s="37" t="str">
        <f t="shared" si="2"/>
        <v/>
      </c>
      <c r="R24" s="37" t="str">
        <f t="shared" si="2"/>
        <v>u</v>
      </c>
      <c r="S24" s="37" t="str">
        <f t="shared" si="2"/>
        <v/>
      </c>
      <c r="T24" s="37" t="str">
        <f t="shared" si="2"/>
        <v/>
      </c>
      <c r="U24" s="37" t="str">
        <f t="shared" si="2"/>
        <v/>
      </c>
      <c r="V24" s="37" t="str">
        <f t="shared" si="2"/>
        <v/>
      </c>
      <c r="W24" s="37" t="str">
        <f t="shared" si="2"/>
        <v/>
      </c>
      <c r="X24" s="37" t="str">
        <f t="shared" si="2"/>
        <v/>
      </c>
      <c r="Y24" s="37" t="str">
        <f t="shared" si="2"/>
        <v/>
      </c>
      <c r="Z24" s="37" t="str">
        <f t="shared" si="2"/>
        <v/>
      </c>
      <c r="AA24" s="37" t="str">
        <f t="shared" si="2"/>
        <v/>
      </c>
      <c r="AB24" s="37" t="str">
        <f t="shared" si="5"/>
        <v/>
      </c>
      <c r="AC24" s="37" t="str">
        <f t="shared" si="5"/>
        <v/>
      </c>
      <c r="AD24" s="37" t="str">
        <f t="shared" si="5"/>
        <v/>
      </c>
      <c r="AE24" s="37" t="str">
        <f t="shared" si="5"/>
        <v/>
      </c>
      <c r="AF24" s="37" t="str">
        <f t="shared" si="5"/>
        <v/>
      </c>
      <c r="AG24" s="37" t="str">
        <f t="shared" si="5"/>
        <v/>
      </c>
      <c r="AH24" s="37" t="str">
        <f t="shared" si="5"/>
        <v/>
      </c>
      <c r="AI24" s="37" t="str">
        <f t="shared" si="5"/>
        <v/>
      </c>
      <c r="AJ24" s="37" t="str">
        <f t="shared" si="5"/>
        <v/>
      </c>
      <c r="AK24" s="37" t="str">
        <f t="shared" si="5"/>
        <v/>
      </c>
      <c r="AL24" s="37" t="str">
        <f t="shared" si="5"/>
        <v/>
      </c>
      <c r="AM24" s="37" t="str">
        <f t="shared" si="5"/>
        <v/>
      </c>
      <c r="AN24" s="37" t="str">
        <f t="shared" si="5"/>
        <v/>
      </c>
      <c r="AO24" s="37" t="str">
        <f t="shared" si="5"/>
        <v/>
      </c>
      <c r="AP24" s="37" t="str">
        <f t="shared" si="5"/>
        <v/>
      </c>
      <c r="AQ24" s="37" t="str">
        <f t="shared" si="5"/>
        <v/>
      </c>
      <c r="AR24" s="37" t="str">
        <f t="shared" si="6"/>
        <v/>
      </c>
      <c r="AS24" s="37" t="str">
        <f t="shared" si="6"/>
        <v/>
      </c>
      <c r="AT24" s="37" t="str">
        <f t="shared" si="6"/>
        <v/>
      </c>
      <c r="AU24" s="37" t="str">
        <f t="shared" si="6"/>
        <v/>
      </c>
      <c r="AV24" s="37" t="str">
        <f t="shared" si="6"/>
        <v/>
      </c>
      <c r="AW24" s="37" t="str">
        <f t="shared" si="6"/>
        <v/>
      </c>
      <c r="AX24" s="37" t="str">
        <f t="shared" si="6"/>
        <v/>
      </c>
      <c r="AY24" s="37" t="str">
        <f t="shared" si="6"/>
        <v/>
      </c>
      <c r="AZ24" s="37" t="str">
        <f t="shared" si="6"/>
        <v/>
      </c>
      <c r="BA24" s="37" t="str">
        <f t="shared" si="6"/>
        <v/>
      </c>
      <c r="BB24" s="37" t="str">
        <f t="shared" si="6"/>
        <v/>
      </c>
      <c r="BC24" s="37" t="str">
        <f t="shared" si="6"/>
        <v/>
      </c>
      <c r="BD24" s="37" t="str">
        <f t="shared" si="6"/>
        <v/>
      </c>
      <c r="BE24" s="37" t="str">
        <f t="shared" si="6"/>
        <v/>
      </c>
      <c r="BF24" s="37" t="str">
        <f t="shared" si="6"/>
        <v/>
      </c>
      <c r="BG24" s="37" t="str">
        <f t="shared" si="6"/>
        <v/>
      </c>
      <c r="BH24" s="37" t="str">
        <f t="shared" si="7"/>
        <v/>
      </c>
      <c r="BI24" s="37" t="str">
        <f t="shared" si="7"/>
        <v/>
      </c>
      <c r="BJ24" s="37" t="str">
        <f t="shared" si="7"/>
        <v/>
      </c>
      <c r="BK24" s="37" t="str">
        <f t="shared" si="7"/>
        <v/>
      </c>
      <c r="BL24" s="37" t="str">
        <f t="shared" si="7"/>
        <v/>
      </c>
      <c r="BM24" s="37" t="str">
        <f t="shared" si="7"/>
        <v/>
      </c>
      <c r="BN24" s="37" t="str">
        <f t="shared" si="7"/>
        <v/>
      </c>
      <c r="BO24" s="37" t="str">
        <f t="shared" si="7"/>
        <v/>
      </c>
      <c r="BP24" s="37" t="str">
        <f t="shared" si="7"/>
        <v/>
      </c>
      <c r="BQ24" s="37" t="str">
        <f t="shared" si="7"/>
        <v/>
      </c>
      <c r="BR24" s="37" t="str">
        <f t="shared" si="7"/>
        <v/>
      </c>
      <c r="BS24" s="37" t="str">
        <f t="shared" si="7"/>
        <v/>
      </c>
      <c r="BT24" s="37" t="str">
        <f t="shared" si="7"/>
        <v/>
      </c>
      <c r="BU24" s="37" t="str">
        <f t="shared" si="7"/>
        <v/>
      </c>
      <c r="BV24" s="37" t="str">
        <f t="shared" si="7"/>
        <v/>
      </c>
      <c r="BW24" s="37" t="str">
        <f t="shared" si="7"/>
        <v/>
      </c>
      <c r="BX24" s="38" t="str">
        <f t="shared" si="4"/>
        <v/>
      </c>
    </row>
    <row r="33" spans="3:4" x14ac:dyDescent="0.25">
      <c r="C33" s="6" t="s">
        <v>10</v>
      </c>
      <c r="D33" s="39"/>
    </row>
    <row r="34" spans="3:4" x14ac:dyDescent="0.25">
      <c r="C34" s="4" t="s">
        <v>13</v>
      </c>
      <c r="D34" s="2"/>
    </row>
    <row r="35" spans="3:4" x14ac:dyDescent="0.25">
      <c r="C35" s="4" t="s">
        <v>14</v>
      </c>
      <c r="D35" s="2"/>
    </row>
    <row r="36" spans="3:4" x14ac:dyDescent="0.25">
      <c r="C36" s="4" t="s">
        <v>15</v>
      </c>
      <c r="D36" s="2"/>
    </row>
    <row r="37" spans="3:4" x14ac:dyDescent="0.25">
      <c r="C37" s="5" t="s">
        <v>16</v>
      </c>
      <c r="D37" s="2"/>
    </row>
  </sheetData>
  <mergeCells count="18">
    <mergeCell ref="AH3:AK3"/>
    <mergeCell ref="BL3:BP3"/>
    <mergeCell ref="BQ3:BT3"/>
    <mergeCell ref="BU3:BX3"/>
    <mergeCell ref="L2:T2"/>
    <mergeCell ref="U2:BT2"/>
    <mergeCell ref="BU2:BX2"/>
    <mergeCell ref="AL3:AO3"/>
    <mergeCell ref="AP3:AT3"/>
    <mergeCell ref="AU3:AX3"/>
    <mergeCell ref="AY3:BC3"/>
    <mergeCell ref="BD3:BG3"/>
    <mergeCell ref="BH3:BK3"/>
    <mergeCell ref="L3:O3"/>
    <mergeCell ref="P3:T3"/>
    <mergeCell ref="U3:X3"/>
    <mergeCell ref="Y3:AB3"/>
    <mergeCell ref="AC3:AG3"/>
  </mergeCells>
  <phoneticPr fontId="2" type="noConversion"/>
  <conditionalFormatting sqref="I6:I24">
    <cfRule type="containsText" dxfId="21" priority="5" operator="containsText" text="Em Progresso">
      <formula>NOT(ISERROR(SEARCH("Em Progresso",I6)))</formula>
    </cfRule>
    <cfRule type="containsText" dxfId="20" priority="6" operator="containsText" text="Não Iniciado">
      <formula>NOT(ISERROR(SEARCH("Não Iniciado",I6)))</formula>
    </cfRule>
    <cfRule type="containsText" dxfId="19" priority="7" operator="containsText" text="Completo">
      <formula>NOT(ISERROR(SEARCH("Completo",I6)))</formula>
    </cfRule>
    <cfRule type="containsText" dxfId="18" priority="8" operator="containsText" text="Pausado">
      <formula>NOT(ISERROR(SEARCH("Pausado",I6)))</formula>
    </cfRule>
  </conditionalFormatting>
  <conditionalFormatting sqref="L6:BX24">
    <cfRule type="expression" dxfId="17" priority="1">
      <formula>AND($I6="Pausado",$J6&gt;0,L$4&lt;=($F6+($G6-$F6)*$J6)-WEEKDAY(($F6+($G6-$F6)*$J6),2)+1,L$4&gt;=$F6-WEEKDAY($F6,2)+1)</formula>
    </cfRule>
    <cfRule type="expression" dxfId="16" priority="2">
      <formula>AND($J6&gt;0,L$4&lt;=($F6+($G6-$F6)*$J6)-WEEKDAY(($F6+($G6+$F6)*$J6),2)+1,L$4&gt;=$F6-WEEKDAY($F6,2)+1)</formula>
    </cfRule>
    <cfRule type="expression" dxfId="15" priority="3">
      <formula>AND(L$4&gt;=$F6-(WEEKDAY($F6,2)+1),L$4&lt;=$G6)</formula>
    </cfRule>
    <cfRule type="expression" dxfId="14" priority="4">
      <formula>L$4=(TODAY()-WEEKDAY(TODAY(),2)+1)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DBBB399-53C9-4B6C-BF15-1E4C374261A4}">
          <x14:formula1>
            <xm:f>'#'!$D$3:$D$22</xm:f>
          </x14:formula1>
          <xm:sqref>I6:I24</xm:sqref>
        </x14:dataValidation>
        <x14:dataValidation type="list" allowBlank="1" showInputMessage="1" showErrorMessage="1" xr:uid="{D1A18E69-6B4A-4ECE-8DB2-8FB35F54B96E}">
          <x14:formula1>
            <xm:f>'Resumo Projetos'!$A$2:$A$21</xm:f>
          </x14:formula1>
          <xm:sqref>C6:C24</xm:sqref>
        </x14:dataValidation>
        <x14:dataValidation type="list" allowBlank="1" showInputMessage="1" showErrorMessage="1" xr:uid="{247CBA22-3A94-4189-8831-CEFA1A633D40}">
          <x14:formula1>
            <xm:f>'#'!$B$3:$B$22</xm:f>
          </x14:formula1>
          <xm:sqref>D6:D24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8F5C4-6E80-4CAB-9DA0-5CDF6D37295D}">
  <sheetPr codeName="pln_moviment"/>
  <dimension ref="B1:H20"/>
  <sheetViews>
    <sheetView showGridLines="0" topLeftCell="A3" workbookViewId="0">
      <selection activeCell="D7" sqref="D7"/>
    </sheetView>
  </sheetViews>
  <sheetFormatPr defaultRowHeight="15" x14ac:dyDescent="0.25"/>
  <cols>
    <col min="1" max="1" width="0.85546875" customWidth="1"/>
    <col min="2" max="2" width="12.5703125" customWidth="1"/>
    <col min="3" max="3" width="13.5703125" customWidth="1"/>
    <col min="4" max="4" width="44" customWidth="1"/>
    <col min="5" max="6" width="33.85546875" customWidth="1"/>
    <col min="7" max="7" width="28.85546875" customWidth="1"/>
    <col min="8" max="8" width="11.42578125" customWidth="1"/>
  </cols>
  <sheetData>
    <row r="1" spans="2:8" ht="24.75" customHeight="1" thickBot="1" x14ac:dyDescent="0.3">
      <c r="B1" s="88" t="s">
        <v>43</v>
      </c>
      <c r="C1" s="89"/>
      <c r="D1" s="89"/>
      <c r="E1" s="89"/>
      <c r="F1" s="89"/>
      <c r="G1" s="89"/>
      <c r="H1" s="90"/>
    </row>
    <row r="2" spans="2:8" ht="15.75" thickBot="1" x14ac:dyDescent="0.3">
      <c r="B2" s="55" t="s">
        <v>36</v>
      </c>
      <c r="C2" s="56" t="s">
        <v>38</v>
      </c>
      <c r="D2" s="56" t="s">
        <v>39</v>
      </c>
      <c r="E2" s="56" t="s">
        <v>37</v>
      </c>
      <c r="F2" s="64" t="s">
        <v>46</v>
      </c>
      <c r="G2" s="64" t="s">
        <v>40</v>
      </c>
      <c r="H2" s="86"/>
    </row>
    <row r="3" spans="2:8" ht="22.5" customHeight="1" thickBot="1" x14ac:dyDescent="0.3">
      <c r="B3" s="66"/>
      <c r="C3" s="62"/>
      <c r="D3" s="62"/>
      <c r="E3" s="62"/>
      <c r="F3" s="65"/>
      <c r="G3" s="63"/>
      <c r="H3" s="87"/>
    </row>
    <row r="6" spans="2:8" x14ac:dyDescent="0.25">
      <c r="B6" s="2" t="s">
        <v>36</v>
      </c>
      <c r="C6" s="2" t="s">
        <v>38</v>
      </c>
      <c r="D6" s="2" t="s">
        <v>39</v>
      </c>
      <c r="E6" s="2" t="s">
        <v>37</v>
      </c>
      <c r="F6" s="2" t="s">
        <v>46</v>
      </c>
      <c r="G6" s="2" t="s">
        <v>40</v>
      </c>
    </row>
    <row r="7" spans="2:8" x14ac:dyDescent="0.25">
      <c r="B7" s="57"/>
      <c r="G7" s="2"/>
    </row>
    <row r="8" spans="2:8" x14ac:dyDescent="0.25">
      <c r="B8" s="57"/>
      <c r="G8" s="2"/>
    </row>
    <row r="9" spans="2:8" x14ac:dyDescent="0.25">
      <c r="B9" s="57"/>
      <c r="G9" s="2"/>
    </row>
    <row r="10" spans="2:8" x14ac:dyDescent="0.25">
      <c r="B10" s="57"/>
      <c r="G10" s="2"/>
    </row>
    <row r="11" spans="2:8" x14ac:dyDescent="0.25">
      <c r="G11" s="2"/>
    </row>
    <row r="12" spans="2:8" x14ac:dyDescent="0.25">
      <c r="B12" s="57"/>
      <c r="G12" s="2"/>
    </row>
    <row r="13" spans="2:8" x14ac:dyDescent="0.25">
      <c r="B13" s="57"/>
      <c r="G13" s="2"/>
    </row>
    <row r="14" spans="2:8" x14ac:dyDescent="0.25">
      <c r="G14" s="2"/>
    </row>
    <row r="15" spans="2:8" x14ac:dyDescent="0.25">
      <c r="G15" s="2"/>
    </row>
    <row r="16" spans="2:8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</sheetData>
  <mergeCells count="2">
    <mergeCell ref="H2:H3"/>
    <mergeCell ref="B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EnviarDadosParaTabela">
                <anchor moveWithCells="1">
                  <from>
                    <xdr:col>7</xdr:col>
                    <xdr:colOff>38100</xdr:colOff>
                    <xdr:row>1</xdr:row>
                    <xdr:rowOff>95250</xdr:rowOff>
                  </from>
                  <to>
                    <xdr:col>7</xdr:col>
                    <xdr:colOff>733425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LimparCamposB1aF1">
                <anchor moveWithCells="1">
                  <from>
                    <xdr:col>6</xdr:col>
                    <xdr:colOff>1800225</xdr:colOff>
                    <xdr:row>0</xdr:row>
                    <xdr:rowOff>57150</xdr:rowOff>
                  </from>
                  <to>
                    <xdr:col>7</xdr:col>
                    <xdr:colOff>609600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8D9F894-3F6D-4F90-8DA1-85B0CFCCCB9E}">
          <x14:formula1>
            <xm:f>'#'!$B$3:$B$22</xm:f>
          </x14:formula1>
          <xm:sqref>C3</xm:sqref>
        </x14:dataValidation>
        <x14:dataValidation type="list" allowBlank="1" showInputMessage="1" showErrorMessage="1" xr:uid="{AF4D1777-A3B3-49FD-B4A0-9D5E3A8D766E}">
          <x14:formula1>
            <xm:f>'Resumo Projetos'!$A$2:$A$21</xm:f>
          </x14:formula1>
          <xm:sqref>D3</xm:sqref>
        </x14:dataValidation>
        <x14:dataValidation type="list" allowBlank="1" showInputMessage="1" showErrorMessage="1" xr:uid="{63B92BB7-D860-48D8-B84F-AF6A9A7B7EEA}">
          <x14:formula1>
            <xm:f>'#'!$C$3:$C$22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085B2-B276-498C-B44C-55B615E70AC6}">
  <sheetPr codeName="Planilha4"/>
  <dimension ref="B1:J22"/>
  <sheetViews>
    <sheetView showGridLines="0" workbookViewId="0">
      <selection activeCell="J15" sqref="J15"/>
    </sheetView>
  </sheetViews>
  <sheetFormatPr defaultRowHeight="15" x14ac:dyDescent="0.25"/>
  <cols>
    <col min="1" max="1" width="2.42578125" customWidth="1"/>
    <col min="2" max="2" width="21" customWidth="1"/>
    <col min="3" max="3" width="31.5703125" bestFit="1" customWidth="1"/>
    <col min="4" max="4" width="18.42578125" bestFit="1" customWidth="1"/>
  </cols>
  <sheetData>
    <row r="1" spans="2:10" ht="6.75" customHeight="1" thickBot="1" x14ac:dyDescent="0.3"/>
    <row r="2" spans="2:10" ht="15.75" thickBot="1" x14ac:dyDescent="0.3">
      <c r="B2" s="42" t="s">
        <v>18</v>
      </c>
      <c r="C2" s="43" t="s">
        <v>19</v>
      </c>
      <c r="D2" s="52" t="s">
        <v>45</v>
      </c>
      <c r="E2" s="40"/>
      <c r="F2" s="40"/>
      <c r="G2" s="40"/>
      <c r="H2" s="40"/>
      <c r="I2" s="40"/>
      <c r="J2" s="41"/>
    </row>
    <row r="3" spans="2:10" x14ac:dyDescent="0.25">
      <c r="B3" s="44" t="s">
        <v>20</v>
      </c>
      <c r="C3" s="45" t="s">
        <v>28</v>
      </c>
      <c r="D3" s="53" t="s">
        <v>13</v>
      </c>
      <c r="E3" s="46"/>
      <c r="F3" s="46"/>
      <c r="G3" s="46"/>
      <c r="H3" s="46"/>
      <c r="I3" s="46"/>
      <c r="J3" s="47"/>
    </row>
    <row r="4" spans="2:10" x14ac:dyDescent="0.25">
      <c r="B4" s="44" t="s">
        <v>21</v>
      </c>
      <c r="C4" s="45" t="s">
        <v>29</v>
      </c>
      <c r="D4" s="53" t="s">
        <v>14</v>
      </c>
      <c r="E4" s="46"/>
      <c r="F4" s="46"/>
      <c r="G4" s="46"/>
      <c r="H4" s="46"/>
      <c r="I4" s="46"/>
      <c r="J4" s="47"/>
    </row>
    <row r="5" spans="2:10" x14ac:dyDescent="0.25">
      <c r="B5" s="44" t="s">
        <v>22</v>
      </c>
      <c r="C5" s="45" t="s">
        <v>30</v>
      </c>
      <c r="D5" s="53" t="s">
        <v>15</v>
      </c>
      <c r="E5" s="46"/>
      <c r="F5" s="46"/>
      <c r="G5" s="46"/>
      <c r="H5" s="46"/>
      <c r="I5" s="46"/>
      <c r="J5" s="47"/>
    </row>
    <row r="6" spans="2:10" x14ac:dyDescent="0.25">
      <c r="B6" s="44" t="s">
        <v>23</v>
      </c>
      <c r="C6" s="45" t="s">
        <v>31</v>
      </c>
      <c r="D6" s="53" t="s">
        <v>16</v>
      </c>
      <c r="E6" s="46"/>
      <c r="F6" s="46"/>
      <c r="G6" s="46"/>
      <c r="H6" s="46"/>
      <c r="I6" s="46"/>
      <c r="J6" s="47"/>
    </row>
    <row r="7" spans="2:10" x14ac:dyDescent="0.25">
      <c r="B7" s="44" t="s">
        <v>24</v>
      </c>
      <c r="C7" s="45" t="s">
        <v>32</v>
      </c>
      <c r="D7" s="53"/>
      <c r="E7" s="46"/>
      <c r="F7" s="46"/>
      <c r="G7" s="46"/>
      <c r="H7" s="46"/>
      <c r="I7" s="46"/>
      <c r="J7" s="47"/>
    </row>
    <row r="8" spans="2:10" x14ac:dyDescent="0.25">
      <c r="B8" s="44" t="s">
        <v>25</v>
      </c>
      <c r="C8" s="45" t="s">
        <v>33</v>
      </c>
      <c r="D8" s="53"/>
      <c r="E8" s="46"/>
      <c r="F8" s="46"/>
      <c r="G8" s="46"/>
      <c r="H8" s="46"/>
      <c r="I8" s="46"/>
      <c r="J8" s="47"/>
    </row>
    <row r="9" spans="2:10" x14ac:dyDescent="0.25">
      <c r="B9" s="44" t="s">
        <v>26</v>
      </c>
      <c r="C9" s="45" t="s">
        <v>34</v>
      </c>
      <c r="D9" s="53"/>
      <c r="E9" s="46"/>
      <c r="F9" s="46"/>
      <c r="G9" s="46"/>
      <c r="H9" s="46"/>
      <c r="I9" s="46"/>
      <c r="J9" s="47"/>
    </row>
    <row r="10" spans="2:10" x14ac:dyDescent="0.25">
      <c r="B10" s="44" t="s">
        <v>27</v>
      </c>
      <c r="C10" s="45" t="s">
        <v>35</v>
      </c>
      <c r="D10" s="53"/>
      <c r="E10" s="46"/>
      <c r="F10" s="46"/>
      <c r="G10" s="46"/>
      <c r="H10" s="46"/>
      <c r="I10" s="46"/>
      <c r="J10" s="47"/>
    </row>
    <row r="11" spans="2:10" x14ac:dyDescent="0.25">
      <c r="B11" s="44"/>
      <c r="C11" s="45"/>
      <c r="D11" s="53"/>
      <c r="E11" s="46"/>
      <c r="F11" s="46"/>
      <c r="G11" s="46"/>
      <c r="H11" s="46"/>
      <c r="I11" s="46"/>
      <c r="J11" s="47"/>
    </row>
    <row r="12" spans="2:10" x14ac:dyDescent="0.25">
      <c r="B12" s="44"/>
      <c r="C12" s="45"/>
      <c r="D12" s="53"/>
      <c r="E12" s="46"/>
      <c r="F12" s="46"/>
      <c r="G12" s="46"/>
      <c r="H12" s="46"/>
      <c r="I12" s="46"/>
      <c r="J12" s="47"/>
    </row>
    <row r="13" spans="2:10" x14ac:dyDescent="0.25">
      <c r="B13" s="44"/>
      <c r="C13" s="45"/>
      <c r="D13" s="53"/>
      <c r="E13" s="46"/>
      <c r="F13" s="46"/>
      <c r="G13" s="46"/>
      <c r="H13" s="46"/>
      <c r="I13" s="46"/>
      <c r="J13" s="47"/>
    </row>
    <row r="14" spans="2:10" x14ac:dyDescent="0.25">
      <c r="B14" s="44"/>
      <c r="C14" s="45"/>
      <c r="D14" s="53"/>
      <c r="E14" s="46"/>
      <c r="F14" s="46"/>
      <c r="G14" s="46"/>
      <c r="H14" s="46"/>
      <c r="I14" s="46"/>
      <c r="J14" s="47"/>
    </row>
    <row r="15" spans="2:10" x14ac:dyDescent="0.25">
      <c r="B15" s="44"/>
      <c r="C15" s="45"/>
      <c r="D15" s="53"/>
      <c r="E15" s="46"/>
      <c r="F15" s="46"/>
      <c r="G15" s="46"/>
      <c r="H15" s="46"/>
      <c r="I15" s="46"/>
      <c r="J15" s="47"/>
    </row>
    <row r="16" spans="2:10" x14ac:dyDescent="0.25">
      <c r="B16" s="44"/>
      <c r="C16" s="45"/>
      <c r="D16" s="53"/>
      <c r="E16" s="46"/>
      <c r="F16" s="46"/>
      <c r="G16" s="46"/>
      <c r="H16" s="46"/>
      <c r="I16" s="46"/>
      <c r="J16" s="47"/>
    </row>
    <row r="17" spans="2:10" x14ac:dyDescent="0.25">
      <c r="B17" s="44"/>
      <c r="C17" s="45"/>
      <c r="D17" s="53"/>
      <c r="E17" s="46"/>
      <c r="F17" s="46"/>
      <c r="G17" s="46"/>
      <c r="H17" s="46"/>
      <c r="I17" s="46"/>
      <c r="J17" s="47"/>
    </row>
    <row r="18" spans="2:10" x14ac:dyDescent="0.25">
      <c r="B18" s="44"/>
      <c r="C18" s="45"/>
      <c r="D18" s="53"/>
      <c r="E18" s="46"/>
      <c r="F18" s="46"/>
      <c r="G18" s="46"/>
      <c r="H18" s="46"/>
      <c r="I18" s="46"/>
      <c r="J18" s="47"/>
    </row>
    <row r="19" spans="2:10" x14ac:dyDescent="0.25">
      <c r="B19" s="44"/>
      <c r="C19" s="45"/>
      <c r="D19" s="53"/>
      <c r="E19" s="46"/>
      <c r="F19" s="46"/>
      <c r="G19" s="46"/>
      <c r="H19" s="46"/>
      <c r="I19" s="46"/>
      <c r="J19" s="47"/>
    </row>
    <row r="20" spans="2:10" x14ac:dyDescent="0.25">
      <c r="B20" s="44"/>
      <c r="C20" s="45"/>
      <c r="D20" s="53"/>
      <c r="E20" s="46"/>
      <c r="F20" s="46"/>
      <c r="G20" s="46"/>
      <c r="H20" s="46"/>
      <c r="I20" s="46"/>
      <c r="J20" s="47"/>
    </row>
    <row r="21" spans="2:10" x14ac:dyDescent="0.25">
      <c r="B21" s="44"/>
      <c r="C21" s="45"/>
      <c r="D21" s="53"/>
      <c r="E21" s="46"/>
      <c r="F21" s="46"/>
      <c r="G21" s="46"/>
      <c r="H21" s="46"/>
      <c r="I21" s="46"/>
      <c r="J21" s="47"/>
    </row>
    <row r="22" spans="2:10" ht="15.75" thickBot="1" x14ac:dyDescent="0.3">
      <c r="B22" s="48"/>
      <c r="C22" s="49"/>
      <c r="D22" s="54"/>
      <c r="E22" s="50"/>
      <c r="F22" s="50"/>
      <c r="G22" s="50"/>
      <c r="H22" s="50"/>
      <c r="I22" s="50"/>
      <c r="J22" s="51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F61017620EF974280A22913F5C4FF9E" ma:contentTypeVersion="19" ma:contentTypeDescription="Crie um novo documento." ma:contentTypeScope="" ma:versionID="49bc470b2740a20c049c73b7e29f3e59">
  <xsd:schema xmlns:xsd="http://www.w3.org/2001/XMLSchema" xmlns:xs="http://www.w3.org/2001/XMLSchema" xmlns:p="http://schemas.microsoft.com/office/2006/metadata/properties" xmlns:ns2="30ffedd1-585b-47e7-8afb-0e802c24debc" xmlns:ns3="69a64457-1b39-4533-a36e-e4c23b24bf74" targetNamespace="http://schemas.microsoft.com/office/2006/metadata/properties" ma:root="true" ma:fieldsID="d7768eec02acff532ceba7cca7df8ba5" ns2:_="" ns3:_="">
    <xsd:import namespace="30ffedd1-585b-47e7-8afb-0e802c24debc"/>
    <xsd:import namespace="69a64457-1b39-4533-a36e-e4c23b24bf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  <xsd:element ref="ns2:_ApprovalAssignedTo" minOccurs="0"/>
                <xsd:element ref="ns2:_ApprovalRespondedBy" minOccurs="0"/>
                <xsd:element ref="ns2:_ApprovalSentBy" minOccurs="0"/>
                <xsd:element ref="ns2:_Approval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ffedd1-585b-47e7-8afb-0e802c24de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6" nillable="true" ma:displayName="Status de liberação" ma:internalName="_x0024_Resources_x003a_core_x002c_Signoff_Status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4c11d792-5c3a-4a3a-821d-c907467bb9b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  <xsd:element name="_ApprovalAssignedTo" ma:index="23" nillable="true" ma:displayName="Aprovadores" ma:list="UserInfo" ma:internalName="_ApprovalAssignedTo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RespondedBy" ma:index="24" nillable="true" ma:displayName="Respostas" ma:list="UserInfo" ma:internalName="_ApprovalRespondedBy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SentBy" ma:index="25" nillable="true" ma:displayName="Criador de Aprovação" ma:list="UserInfo" ma:internalName="_ApprovalSent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Status" ma:index="26" nillable="true" ma:displayName="Status de aprovação" ma:internalName="_ApprovalStatu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a64457-1b39-4533-a36e-e4c23b24bf74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405dc29e-97f0-4b43-a601-1d64d6767a11}" ma:internalName="TaxCatchAll" ma:showField="CatchAllData" ma:web="69a64457-1b39-4533-a36e-e4c23b24bf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pprovalAssignedTo xmlns="30ffedd1-585b-47e7-8afb-0e802c24debc">
      <UserInfo>
        <DisplayName/>
        <AccountId xsi:nil="true"/>
        <AccountType/>
      </UserInfo>
    </_ApprovalAssignedTo>
    <_ApprovalSentBy xmlns="30ffedd1-585b-47e7-8afb-0e802c24debc">
      <UserInfo>
        <DisplayName/>
        <AccountId xsi:nil="true"/>
        <AccountType/>
      </UserInfo>
    </_ApprovalSentBy>
    <_ApprovalStatus xmlns="30ffedd1-585b-47e7-8afb-0e802c24debc">0</_ApprovalStatus>
    <_Flow_SignoffStatus xmlns="30ffedd1-585b-47e7-8afb-0e802c24debc" xsi:nil="true"/>
    <_ApprovalRespondedBy xmlns="30ffedd1-585b-47e7-8afb-0e802c24debc">
      <UserInfo>
        <DisplayName/>
        <AccountId xsi:nil="true"/>
        <AccountType/>
      </UserInfo>
    </_ApprovalRespondedBy>
    <lcf76f155ced4ddcb4097134ff3c332f xmlns="30ffedd1-585b-47e7-8afb-0e802c24debc">
      <Terms xmlns="http://schemas.microsoft.com/office/infopath/2007/PartnerControls"/>
    </lcf76f155ced4ddcb4097134ff3c332f>
    <TaxCatchAll xmlns="69a64457-1b39-4533-a36e-e4c23b24bf74" xsi:nil="true"/>
  </documentManagement>
</p:properties>
</file>

<file path=customXml/itemProps1.xml><?xml version="1.0" encoding="utf-8"?>
<ds:datastoreItem xmlns:ds="http://schemas.openxmlformats.org/officeDocument/2006/customXml" ds:itemID="{5EC74640-2FC9-4E15-AE70-FC1A8CDA60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ffedd1-585b-47e7-8afb-0e802c24debc"/>
    <ds:schemaRef ds:uri="69a64457-1b39-4533-a36e-e4c23b24bf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FB75396-8B9E-4D55-B31B-42D492FBCB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8B429D-7B91-4BC5-A192-06CCC0FD4770}">
  <ds:schemaRefs>
    <ds:schemaRef ds:uri="http://schemas.microsoft.com/office/2006/metadata/properties"/>
    <ds:schemaRef ds:uri="http://schemas.microsoft.com/office/infopath/2007/PartnerControls"/>
    <ds:schemaRef ds:uri="30ffedd1-585b-47e7-8afb-0e802c24debc"/>
    <ds:schemaRef ds:uri="69a64457-1b39-4533-a36e-e4c23b24bf7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Resumo Projetos</vt:lpstr>
      <vt:lpstr>Cronograma</vt:lpstr>
      <vt:lpstr>Movimento</vt:lpstr>
      <vt:lpstr>#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  Marinho da Cabtec by Kyubi</dc:creator>
  <cp:lastModifiedBy>Renata  Marinho da Cabtec by Kyubi</cp:lastModifiedBy>
  <dcterms:created xsi:type="dcterms:W3CDTF">2025-11-04T11:57:19Z</dcterms:created>
  <dcterms:modified xsi:type="dcterms:W3CDTF">2025-11-07T18:42:46Z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0x0101001F61017620EF974280A22913F5C4FF9E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